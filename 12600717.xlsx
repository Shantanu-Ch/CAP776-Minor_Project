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ython Minor Project\"/>
    </mc:Choice>
  </mc:AlternateContent>
  <xr:revisionPtr revIDLastSave="0" documentId="13_ncr:1_{24884B55-9BC4-4D2C-AB15-7F2623D5A77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</calcChain>
</file>

<file path=xl/sharedStrings.xml><?xml version="1.0" encoding="utf-8"?>
<sst xmlns="http://schemas.openxmlformats.org/spreadsheetml/2006/main" count="197" uniqueCount="99">
  <si>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</si>
  <si>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</si>
  <si>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</si>
  <si>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</si>
  <si>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</si>
  <si>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</si>
  <si>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</si>
  <si>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</si>
  <si>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</si>
  <si>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</si>
  <si>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</si>
  <si>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</si>
  <si>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</si>
  <si>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</si>
  <si>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</si>
  <si>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</si>
  <si>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</si>
  <si>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</si>
  <si>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</si>
  <si>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</si>
  <si>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</si>
  <si>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</si>
  <si>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</si>
  <si>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</si>
  <si>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</si>
  <si>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</si>
  <si>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</si>
  <si>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</si>
  <si>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</si>
  <si>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</si>
  <si>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</si>
  <si>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</si>
  <si>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</si>
  <si>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</si>
  <si>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</si>
  <si>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</si>
  <si>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</si>
  <si>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</si>
  <si>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</si>
  <si>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</si>
  <si>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</si>
  <si>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</si>
  <si>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</si>
  <si>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</si>
  <si>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</si>
  <si>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</si>
  <si>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</si>
  <si>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</si>
  <si>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</si>
  <si>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</si>
  <si>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</si>
  <si>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</si>
  <si>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</si>
  <si>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CAP776 / D1P2634</t>
  </si>
  <si>
    <t>High</t>
  </si>
  <si>
    <t>Neutral</t>
  </si>
  <si>
    <t>Low</t>
  </si>
  <si>
    <t>SHANTANU CHHETRI</t>
  </si>
  <si>
    <t>Excellent</t>
  </si>
  <si>
    <t>Very Satisfied</t>
  </si>
  <si>
    <t>Stressed</t>
  </si>
  <si>
    <t>Unsatisfied</t>
  </si>
  <si>
    <t>Revised DBMS and practiced SQL.</t>
  </si>
  <si>
    <t>Focused on algorithm problem solving.</t>
  </si>
  <si>
    <t>Sunday rest and DSA revision.</t>
  </si>
  <si>
    <t>Attended classes and study session.</t>
  </si>
  <si>
    <t>Covered lab work and assignment tasks.</t>
  </si>
  <si>
    <t>Relaxed Sunday and light revision.</t>
  </si>
  <si>
    <t>Started week with solid momentum and evening coding session.</t>
  </si>
  <si>
    <t>Stayed on track with coursework.</t>
  </si>
  <si>
    <t>Completed study goals and evening revision.</t>
  </si>
  <si>
    <t>Stayed attentive and finished daily lab work.</t>
  </si>
  <si>
    <t>Practiced SQL joins and subqueries.</t>
  </si>
  <si>
    <t>Outing with friends and rest.</t>
  </si>
  <si>
    <t>Smooth start to the week with steady study hours.</t>
  </si>
  <si>
    <t>Completed practice problems and coding tasks.</t>
  </si>
  <si>
    <t>Focused on workout and core subject review.</t>
  </si>
  <si>
    <t>Managed homework assignments in the evening.</t>
  </si>
  <si>
    <t>Wrapped up pending lab write-ups.</t>
  </si>
  <si>
    <t>Took CA quiz and prepared viva.</t>
  </si>
  <si>
    <t>Practiced dynamic programming in evening.</t>
  </si>
  <si>
    <t>Completed lab work efficiently.</t>
  </si>
  <si>
    <t>Balanced fitness workout with evening assignment work.</t>
  </si>
  <si>
    <t>Slight headache after six classes.</t>
  </si>
  <si>
    <t>Revised C++ Pointers.</t>
  </si>
  <si>
    <t>Practiced Networking Practical Task.</t>
  </si>
  <si>
    <t>Productive week start with evening programming practice.</t>
  </si>
  <si>
    <t>Solved problems on LeetCode.</t>
  </si>
  <si>
    <t>Reviewed LinkedIn Profile.</t>
  </si>
  <si>
    <t>Tired day, finished C++ Practical Assignment Question.</t>
  </si>
  <si>
    <t>Solved Problems on Leetcode.</t>
  </si>
  <si>
    <t>Revised DBMS Normalizations.</t>
  </si>
  <si>
    <t>Solved Leetcode problems on Saturday.</t>
  </si>
  <si>
    <t>Learned new concepts of OOPS in Python.</t>
  </si>
  <si>
    <t>Devoted significant time to Logic Building.</t>
  </si>
  <si>
    <t>AUGUST, SEPTEMBER</t>
  </si>
  <si>
    <t>Completed Unit 2 in Analytical Subject.</t>
  </si>
  <si>
    <t>Exhausting Friday, took rest.</t>
  </si>
  <si>
    <t>Completed C++ Fundamental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</si>
</sst>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A17" sqref="A1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8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6" sqref="K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57</v>
      </c>
      <c r="C2" s="20"/>
      <c r="D2" s="20"/>
      <c r="E2" s="6" t="s">
        <v>31</v>
      </c>
      <c r="F2" s="20">
        <v>12600717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95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3" customHeight="1" x14ac:dyDescent="0.3">
      <c r="A6" s="8">
        <v>46251</v>
      </c>
      <c r="B6" s="9">
        <v>420</v>
      </c>
      <c r="C6" s="9">
        <v>40</v>
      </c>
      <c r="D6" s="9">
        <v>110</v>
      </c>
      <c r="E6" s="9">
        <v>85</v>
      </c>
      <c r="F6" s="9">
        <v>250</v>
      </c>
      <c r="G6" s="9">
        <v>5</v>
      </c>
      <c r="H6" s="9">
        <v>165</v>
      </c>
      <c r="I6" s="14">
        <f t="shared" ref="I6:I10" si="0">IF(SUM(B6:F6,H6)=0,"",SUM(B6:F6,H6))</f>
        <v>1070</v>
      </c>
      <c r="J6" s="14">
        <f t="shared" ref="J6:J13" si="1">IF(I6="","",1440-I6)</f>
        <v>370</v>
      </c>
      <c r="K6" s="10" t="s">
        <v>49</v>
      </c>
      <c r="L6" s="10" t="s">
        <v>50</v>
      </c>
      <c r="M6" s="10" t="s">
        <v>54</v>
      </c>
      <c r="N6" s="11" t="s">
        <v>62</v>
      </c>
    </row>
    <row r="7" spans="1:14" ht="28.8" x14ac:dyDescent="0.3">
      <c r="A7" s="8">
        <v>46252</v>
      </c>
      <c r="B7" s="9">
        <v>450</v>
      </c>
      <c r="C7" s="9">
        <v>35</v>
      </c>
      <c r="D7" s="9">
        <v>135</v>
      </c>
      <c r="E7" s="9">
        <v>105</v>
      </c>
      <c r="F7" s="9">
        <v>250</v>
      </c>
      <c r="G7" s="9">
        <v>5</v>
      </c>
      <c r="H7" s="9">
        <v>140</v>
      </c>
      <c r="I7" s="14">
        <f t="shared" si="0"/>
        <v>1115</v>
      </c>
      <c r="J7" s="14">
        <f t="shared" si="1"/>
        <v>325</v>
      </c>
      <c r="K7" s="10" t="s">
        <v>49</v>
      </c>
      <c r="L7" s="10" t="s">
        <v>50</v>
      </c>
      <c r="M7" s="10" t="s">
        <v>54</v>
      </c>
      <c r="N7" s="11" t="s">
        <v>98</v>
      </c>
    </row>
    <row r="8" spans="1:14" ht="28.8" x14ac:dyDescent="0.3">
      <c r="A8" s="8">
        <v>46253</v>
      </c>
      <c r="B8" s="9">
        <v>420</v>
      </c>
      <c r="C8" s="9">
        <v>50</v>
      </c>
      <c r="D8" s="9">
        <v>100</v>
      </c>
      <c r="E8" s="9">
        <v>115</v>
      </c>
      <c r="F8" s="9">
        <v>200</v>
      </c>
      <c r="G8" s="9">
        <v>4</v>
      </c>
      <c r="H8" s="9">
        <v>195</v>
      </c>
      <c r="I8" s="14">
        <f t="shared" si="0"/>
        <v>1080</v>
      </c>
      <c r="J8" s="14">
        <f t="shared" si="1"/>
        <v>360</v>
      </c>
      <c r="K8" s="10" t="s">
        <v>58</v>
      </c>
      <c r="L8" s="10" t="s">
        <v>59</v>
      </c>
      <c r="M8" s="10" t="s">
        <v>54</v>
      </c>
      <c r="N8" s="11" t="s">
        <v>87</v>
      </c>
    </row>
    <row r="9" spans="1:14" x14ac:dyDescent="0.3">
      <c r="A9" s="8">
        <v>46254</v>
      </c>
      <c r="B9" s="9">
        <v>450</v>
      </c>
      <c r="C9" s="9">
        <v>25</v>
      </c>
      <c r="D9" s="9">
        <v>115</v>
      </c>
      <c r="E9" s="9">
        <v>75</v>
      </c>
      <c r="F9" s="9">
        <v>300</v>
      </c>
      <c r="G9" s="9">
        <v>6</v>
      </c>
      <c r="H9" s="9">
        <v>160</v>
      </c>
      <c r="I9" s="14">
        <f t="shared" si="0"/>
        <v>1125</v>
      </c>
      <c r="J9" s="14">
        <f t="shared" si="1"/>
        <v>315</v>
      </c>
      <c r="K9" s="10" t="s">
        <v>55</v>
      </c>
      <c r="L9" s="10" t="s">
        <v>55</v>
      </c>
      <c r="M9" s="10" t="s">
        <v>51</v>
      </c>
      <c r="N9" s="11" t="s">
        <v>88</v>
      </c>
    </row>
    <row r="10" spans="1:14" ht="43.2" x14ac:dyDescent="0.3">
      <c r="A10" s="8">
        <v>46255</v>
      </c>
      <c r="B10" s="9">
        <v>420</v>
      </c>
      <c r="C10" s="9">
        <v>20</v>
      </c>
      <c r="D10" s="9">
        <v>75</v>
      </c>
      <c r="E10" s="9">
        <v>80</v>
      </c>
      <c r="F10" s="9">
        <v>350</v>
      </c>
      <c r="G10" s="9">
        <v>7</v>
      </c>
      <c r="H10" s="9">
        <v>170</v>
      </c>
      <c r="I10" s="14">
        <f t="shared" si="0"/>
        <v>1115</v>
      </c>
      <c r="J10" s="14">
        <f t="shared" si="1"/>
        <v>325</v>
      </c>
      <c r="K10" s="10" t="s">
        <v>56</v>
      </c>
      <c r="L10" s="10" t="s">
        <v>55</v>
      </c>
      <c r="M10" s="10" t="s">
        <v>56</v>
      </c>
      <c r="N10" s="11" t="s">
        <v>89</v>
      </c>
    </row>
    <row r="11" spans="1:14" ht="28.8" x14ac:dyDescent="0.3">
      <c r="A11" s="8">
        <v>46256</v>
      </c>
      <c r="B11" s="9">
        <v>510</v>
      </c>
      <c r="C11" s="9">
        <v>55</v>
      </c>
      <c r="D11" s="9">
        <v>160</v>
      </c>
      <c r="E11" s="9">
        <v>175</v>
      </c>
      <c r="F11" s="9">
        <v>0</v>
      </c>
      <c r="G11" s="9">
        <v>0</v>
      </c>
      <c r="H11" s="9">
        <v>210</v>
      </c>
      <c r="I11" s="14">
        <f t="shared" ref="I11:I76" si="2">IF(SUM(B11:F11,H11)=0,"",SUM(B11:F11,H11))</f>
        <v>1110</v>
      </c>
      <c r="J11" s="14">
        <f t="shared" si="1"/>
        <v>330</v>
      </c>
      <c r="K11" s="10" t="s">
        <v>58</v>
      </c>
      <c r="L11" s="10" t="s">
        <v>59</v>
      </c>
      <c r="M11" s="10" t="s">
        <v>54</v>
      </c>
      <c r="N11" s="11" t="s">
        <v>63</v>
      </c>
    </row>
    <row r="12" spans="1:14" ht="28.8" x14ac:dyDescent="0.3">
      <c r="A12" s="8">
        <v>46257</v>
      </c>
      <c r="B12" s="9">
        <v>480</v>
      </c>
      <c r="C12" s="9">
        <v>40</v>
      </c>
      <c r="D12" s="9">
        <v>125</v>
      </c>
      <c r="E12" s="9">
        <v>95</v>
      </c>
      <c r="F12" s="9">
        <v>0</v>
      </c>
      <c r="G12" s="9">
        <v>0</v>
      </c>
      <c r="H12" s="9">
        <v>285</v>
      </c>
      <c r="I12" s="14">
        <f t="shared" si="2"/>
        <v>1025</v>
      </c>
      <c r="J12" s="14">
        <f t="shared" si="1"/>
        <v>415</v>
      </c>
      <c r="K12" s="10" t="s">
        <v>49</v>
      </c>
      <c r="L12" s="10" t="s">
        <v>50</v>
      </c>
      <c r="M12" s="10" t="s">
        <v>54</v>
      </c>
      <c r="N12" s="11" t="s">
        <v>64</v>
      </c>
    </row>
    <row r="13" spans="1:14" ht="28.8" x14ac:dyDescent="0.3">
      <c r="A13" s="8">
        <v>46258</v>
      </c>
      <c r="B13" s="9">
        <v>420</v>
      </c>
      <c r="C13" s="9">
        <v>45</v>
      </c>
      <c r="D13" s="9">
        <v>105</v>
      </c>
      <c r="E13" s="9">
        <v>90</v>
      </c>
      <c r="F13" s="9">
        <v>250</v>
      </c>
      <c r="G13" s="9">
        <v>5</v>
      </c>
      <c r="H13" s="9">
        <v>175</v>
      </c>
      <c r="I13" s="14">
        <f t="shared" si="2"/>
        <v>1085</v>
      </c>
      <c r="J13" s="14">
        <f t="shared" si="1"/>
        <v>355</v>
      </c>
      <c r="K13" s="10" t="s">
        <v>49</v>
      </c>
      <c r="L13" s="10" t="s">
        <v>50</v>
      </c>
      <c r="M13" s="10" t="s">
        <v>54</v>
      </c>
      <c r="N13" s="11" t="s">
        <v>65</v>
      </c>
    </row>
    <row r="14" spans="1:14" ht="28.8" x14ac:dyDescent="0.3">
      <c r="A14" s="8">
        <v>46259</v>
      </c>
      <c r="B14" s="9">
        <v>450</v>
      </c>
      <c r="C14" s="9">
        <v>30</v>
      </c>
      <c r="D14" s="9">
        <v>140</v>
      </c>
      <c r="E14" s="9">
        <v>110</v>
      </c>
      <c r="F14" s="9">
        <v>250</v>
      </c>
      <c r="G14" s="9">
        <v>5</v>
      </c>
      <c r="H14" s="9">
        <v>155</v>
      </c>
      <c r="I14" s="14">
        <f t="shared" si="2"/>
        <v>1135</v>
      </c>
      <c r="J14" s="14">
        <f t="shared" ref="J14:J76" si="3">IF(I14="","",1440-I14)</f>
        <v>305</v>
      </c>
      <c r="K14" s="10" t="s">
        <v>49</v>
      </c>
      <c r="L14" s="10" t="s">
        <v>50</v>
      </c>
      <c r="M14" s="10" t="s">
        <v>51</v>
      </c>
      <c r="N14" s="11" t="s">
        <v>66</v>
      </c>
    </row>
    <row r="15" spans="1:14" ht="28.8" x14ac:dyDescent="0.3">
      <c r="A15" s="8">
        <v>46260</v>
      </c>
      <c r="B15" s="9">
        <v>420</v>
      </c>
      <c r="C15" s="9">
        <v>55</v>
      </c>
      <c r="D15" s="9">
        <v>95</v>
      </c>
      <c r="E15" s="9">
        <v>125</v>
      </c>
      <c r="F15" s="9">
        <v>200</v>
      </c>
      <c r="G15" s="9">
        <v>4</v>
      </c>
      <c r="H15" s="9">
        <v>185</v>
      </c>
      <c r="I15" s="14">
        <f t="shared" si="2"/>
        <v>1080</v>
      </c>
      <c r="J15" s="14">
        <f t="shared" si="3"/>
        <v>360</v>
      </c>
      <c r="K15" s="10" t="s">
        <v>49</v>
      </c>
      <c r="L15" s="10" t="s">
        <v>59</v>
      </c>
      <c r="M15" s="10" t="s">
        <v>54</v>
      </c>
      <c r="N15" s="11" t="s">
        <v>90</v>
      </c>
    </row>
    <row r="16" spans="1:14" ht="28.8" x14ac:dyDescent="0.3">
      <c r="A16" s="8">
        <v>46261</v>
      </c>
      <c r="B16" s="9">
        <v>480</v>
      </c>
      <c r="C16" s="9">
        <v>25</v>
      </c>
      <c r="D16" s="9">
        <v>130</v>
      </c>
      <c r="E16" s="9">
        <v>65</v>
      </c>
      <c r="F16" s="9">
        <v>300</v>
      </c>
      <c r="G16" s="9">
        <v>6</v>
      </c>
      <c r="H16" s="9">
        <v>150</v>
      </c>
      <c r="I16" s="14">
        <f t="shared" si="2"/>
        <v>1150</v>
      </c>
      <c r="J16" s="14">
        <f t="shared" si="3"/>
        <v>290</v>
      </c>
      <c r="K16" s="10" t="s">
        <v>55</v>
      </c>
      <c r="L16" s="10" t="s">
        <v>55</v>
      </c>
      <c r="M16" s="10" t="s">
        <v>51</v>
      </c>
      <c r="N16" s="11" t="s">
        <v>91</v>
      </c>
    </row>
    <row r="17" spans="1:14" x14ac:dyDescent="0.3">
      <c r="A17" s="8">
        <v>46262</v>
      </c>
      <c r="B17" s="9">
        <v>420</v>
      </c>
      <c r="C17" s="9">
        <v>0</v>
      </c>
      <c r="D17" s="9">
        <v>85</v>
      </c>
      <c r="E17" s="9">
        <v>70</v>
      </c>
      <c r="F17" s="9">
        <v>350</v>
      </c>
      <c r="G17" s="9">
        <v>7</v>
      </c>
      <c r="H17" s="9">
        <v>190</v>
      </c>
      <c r="I17" s="14">
        <f t="shared" si="2"/>
        <v>1115</v>
      </c>
      <c r="J17" s="14">
        <f t="shared" si="3"/>
        <v>325</v>
      </c>
      <c r="K17" s="10" t="s">
        <v>60</v>
      </c>
      <c r="L17" s="10" t="s">
        <v>61</v>
      </c>
      <c r="M17" s="10" t="s">
        <v>56</v>
      </c>
      <c r="N17" s="11" t="s">
        <v>97</v>
      </c>
    </row>
    <row r="18" spans="1:14" ht="28.8" x14ac:dyDescent="0.3">
      <c r="A18" s="8">
        <v>46263</v>
      </c>
      <c r="B18" s="9">
        <v>510</v>
      </c>
      <c r="C18" s="9">
        <v>60</v>
      </c>
      <c r="D18" s="9">
        <v>145</v>
      </c>
      <c r="E18" s="9">
        <v>190</v>
      </c>
      <c r="F18" s="9">
        <v>0</v>
      </c>
      <c r="G18" s="9">
        <v>0</v>
      </c>
      <c r="H18" s="9">
        <v>225</v>
      </c>
      <c r="I18" s="14">
        <f t="shared" si="2"/>
        <v>1130</v>
      </c>
      <c r="J18" s="14">
        <f t="shared" si="3"/>
        <v>310</v>
      </c>
      <c r="K18" s="10" t="s">
        <v>49</v>
      </c>
      <c r="L18" s="10" t="s">
        <v>59</v>
      </c>
      <c r="M18" s="10" t="s">
        <v>54</v>
      </c>
      <c r="N18" s="11" t="s">
        <v>92</v>
      </c>
    </row>
    <row r="19" spans="1:14" ht="28.8" x14ac:dyDescent="0.3">
      <c r="A19" s="8">
        <v>46264</v>
      </c>
      <c r="B19" s="9">
        <v>510</v>
      </c>
      <c r="C19" s="9">
        <v>35</v>
      </c>
      <c r="D19" s="9">
        <v>110</v>
      </c>
      <c r="E19" s="9">
        <v>80</v>
      </c>
      <c r="F19" s="9">
        <v>0</v>
      </c>
      <c r="G19" s="9">
        <v>0</v>
      </c>
      <c r="H19" s="9">
        <v>310</v>
      </c>
      <c r="I19" s="14">
        <f t="shared" si="2"/>
        <v>1045</v>
      </c>
      <c r="J19" s="14">
        <f t="shared" si="3"/>
        <v>395</v>
      </c>
      <c r="K19" s="10" t="s">
        <v>49</v>
      </c>
      <c r="L19" s="10" t="s">
        <v>50</v>
      </c>
      <c r="M19" s="10" t="s">
        <v>51</v>
      </c>
      <c r="N19" s="11" t="s">
        <v>67</v>
      </c>
    </row>
    <row r="20" spans="1:14" ht="43.2" x14ac:dyDescent="0.3">
      <c r="A20" s="8">
        <v>46265</v>
      </c>
      <c r="B20" s="9">
        <v>420</v>
      </c>
      <c r="C20" s="9">
        <v>40</v>
      </c>
      <c r="D20" s="9">
        <v>115</v>
      </c>
      <c r="E20" s="9">
        <v>95</v>
      </c>
      <c r="F20" s="9">
        <v>250</v>
      </c>
      <c r="G20" s="9">
        <v>5</v>
      </c>
      <c r="H20" s="9">
        <v>170</v>
      </c>
      <c r="I20" s="14">
        <f t="shared" si="2"/>
        <v>1090</v>
      </c>
      <c r="J20" s="14">
        <f t="shared" si="3"/>
        <v>350</v>
      </c>
      <c r="K20" s="10" t="s">
        <v>49</v>
      </c>
      <c r="L20" s="10" t="s">
        <v>50</v>
      </c>
      <c r="M20" s="10" t="s">
        <v>54</v>
      </c>
      <c r="N20" s="11" t="s">
        <v>68</v>
      </c>
    </row>
    <row r="21" spans="1:14" ht="28.8" x14ac:dyDescent="0.3">
      <c r="A21" s="8">
        <v>46266</v>
      </c>
      <c r="B21" s="9">
        <v>450</v>
      </c>
      <c r="C21" s="9">
        <v>30</v>
      </c>
      <c r="D21" s="9">
        <v>150</v>
      </c>
      <c r="E21" s="9">
        <v>115</v>
      </c>
      <c r="F21" s="9">
        <v>250</v>
      </c>
      <c r="G21" s="9">
        <v>5</v>
      </c>
      <c r="H21" s="9">
        <v>145</v>
      </c>
      <c r="I21" s="14">
        <f t="shared" si="2"/>
        <v>1140</v>
      </c>
      <c r="J21" s="14">
        <f t="shared" si="3"/>
        <v>300</v>
      </c>
      <c r="K21" s="10" t="s">
        <v>49</v>
      </c>
      <c r="L21" s="10" t="s">
        <v>50</v>
      </c>
      <c r="M21" s="10" t="s">
        <v>51</v>
      </c>
      <c r="N21" s="11" t="s">
        <v>69</v>
      </c>
    </row>
    <row r="22" spans="1:14" ht="28.8" x14ac:dyDescent="0.3">
      <c r="A22" s="8">
        <v>46267</v>
      </c>
      <c r="B22" s="9">
        <v>420</v>
      </c>
      <c r="C22" s="9">
        <v>45</v>
      </c>
      <c r="D22" s="9">
        <v>105</v>
      </c>
      <c r="E22" s="9">
        <v>130</v>
      </c>
      <c r="F22" s="9">
        <v>200</v>
      </c>
      <c r="G22" s="9">
        <v>4</v>
      </c>
      <c r="H22" s="9">
        <v>175</v>
      </c>
      <c r="I22" s="14">
        <f t="shared" si="2"/>
        <v>1075</v>
      </c>
      <c r="J22" s="14">
        <f t="shared" si="3"/>
        <v>365</v>
      </c>
      <c r="K22" s="10" t="s">
        <v>58</v>
      </c>
      <c r="L22" s="10" t="s">
        <v>59</v>
      </c>
      <c r="M22" s="10" t="s">
        <v>54</v>
      </c>
      <c r="N22" s="17" t="s">
        <v>70</v>
      </c>
    </row>
    <row r="23" spans="1:14" ht="28.8" x14ac:dyDescent="0.3">
      <c r="A23" s="8">
        <v>46268</v>
      </c>
      <c r="B23" s="9">
        <v>450</v>
      </c>
      <c r="C23" s="9">
        <v>20</v>
      </c>
      <c r="D23" s="9">
        <v>120</v>
      </c>
      <c r="E23" s="9">
        <v>80</v>
      </c>
      <c r="F23" s="9">
        <v>300</v>
      </c>
      <c r="G23" s="9">
        <v>6</v>
      </c>
      <c r="H23" s="9">
        <v>160</v>
      </c>
      <c r="I23" s="14">
        <f t="shared" si="2"/>
        <v>1130</v>
      </c>
      <c r="J23" s="14">
        <f t="shared" si="3"/>
        <v>310</v>
      </c>
      <c r="K23" s="10" t="s">
        <v>56</v>
      </c>
      <c r="L23" s="10" t="s">
        <v>55</v>
      </c>
      <c r="M23" s="10" t="s">
        <v>56</v>
      </c>
      <c r="N23" s="11" t="s">
        <v>71</v>
      </c>
    </row>
    <row r="24" spans="1:14" ht="28.8" x14ac:dyDescent="0.3">
      <c r="A24" s="8">
        <v>46269</v>
      </c>
      <c r="B24" s="9">
        <v>420</v>
      </c>
      <c r="C24" s="9">
        <v>15</v>
      </c>
      <c r="D24" s="9">
        <v>70</v>
      </c>
      <c r="E24" s="9">
        <v>85</v>
      </c>
      <c r="F24" s="9">
        <v>350</v>
      </c>
      <c r="G24" s="9">
        <v>7</v>
      </c>
      <c r="H24" s="9">
        <v>180</v>
      </c>
      <c r="I24" s="14">
        <f t="shared" si="2"/>
        <v>1120</v>
      </c>
      <c r="J24" s="14">
        <f t="shared" si="3"/>
        <v>320</v>
      </c>
      <c r="K24" s="10" t="s">
        <v>56</v>
      </c>
      <c r="L24" s="10" t="s">
        <v>55</v>
      </c>
      <c r="M24" s="10" t="s">
        <v>56</v>
      </c>
      <c r="N24" s="11" t="s">
        <v>72</v>
      </c>
    </row>
    <row r="25" spans="1:14" ht="28.8" x14ac:dyDescent="0.3">
      <c r="A25" s="8">
        <v>46270</v>
      </c>
      <c r="B25" s="9">
        <v>510</v>
      </c>
      <c r="C25" s="9">
        <v>50</v>
      </c>
      <c r="D25" s="9">
        <v>155</v>
      </c>
      <c r="E25" s="9">
        <v>200</v>
      </c>
      <c r="F25" s="9">
        <v>0</v>
      </c>
      <c r="G25" s="9">
        <v>0</v>
      </c>
      <c r="H25" s="9">
        <v>205</v>
      </c>
      <c r="I25" s="14">
        <f t="shared" si="2"/>
        <v>1120</v>
      </c>
      <c r="J25" s="14">
        <f t="shared" si="3"/>
        <v>320</v>
      </c>
      <c r="K25" s="10" t="s">
        <v>58</v>
      </c>
      <c r="L25" s="10" t="s">
        <v>59</v>
      </c>
      <c r="M25" s="10" t="s">
        <v>54</v>
      </c>
      <c r="N25" s="11" t="s">
        <v>93</v>
      </c>
    </row>
    <row r="26" spans="1:14" x14ac:dyDescent="0.3">
      <c r="A26" s="8">
        <v>46271</v>
      </c>
      <c r="B26" s="9">
        <v>480</v>
      </c>
      <c r="C26" s="9">
        <v>40</v>
      </c>
      <c r="D26" s="9">
        <v>130</v>
      </c>
      <c r="E26" s="9">
        <v>75</v>
      </c>
      <c r="F26" s="9">
        <v>0</v>
      </c>
      <c r="G26" s="9">
        <v>0</v>
      </c>
      <c r="H26" s="9">
        <v>290</v>
      </c>
      <c r="I26" s="14">
        <f t="shared" si="2"/>
        <v>1015</v>
      </c>
      <c r="J26" s="14">
        <f t="shared" si="3"/>
        <v>425</v>
      </c>
      <c r="K26" s="10" t="s">
        <v>49</v>
      </c>
      <c r="L26" s="10" t="s">
        <v>50</v>
      </c>
      <c r="M26" s="10" t="s">
        <v>51</v>
      </c>
      <c r="N26" s="11" t="s">
        <v>73</v>
      </c>
    </row>
    <row r="27" spans="1:14" ht="28.8" x14ac:dyDescent="0.3">
      <c r="A27" s="8">
        <v>46272</v>
      </c>
      <c r="B27" s="9">
        <v>420</v>
      </c>
      <c r="C27" s="9">
        <v>45</v>
      </c>
      <c r="D27" s="9">
        <v>125</v>
      </c>
      <c r="E27" s="9">
        <v>90</v>
      </c>
      <c r="F27" s="9">
        <v>250</v>
      </c>
      <c r="G27" s="9">
        <v>5</v>
      </c>
      <c r="H27" s="9">
        <v>160</v>
      </c>
      <c r="I27" s="14">
        <f t="shared" si="2"/>
        <v>1090</v>
      </c>
      <c r="J27" s="14">
        <f t="shared" si="3"/>
        <v>350</v>
      </c>
      <c r="K27" s="10" t="s">
        <v>49</v>
      </c>
      <c r="L27" s="10" t="s">
        <v>50</v>
      </c>
      <c r="M27" s="10" t="s">
        <v>54</v>
      </c>
      <c r="N27" s="11" t="s">
        <v>74</v>
      </c>
    </row>
    <row r="28" spans="1:14" ht="28.8" x14ac:dyDescent="0.3">
      <c r="A28" s="8">
        <v>46273</v>
      </c>
      <c r="B28" s="9">
        <v>450</v>
      </c>
      <c r="C28" s="9">
        <v>35</v>
      </c>
      <c r="D28" s="9">
        <v>140</v>
      </c>
      <c r="E28" s="9">
        <v>105</v>
      </c>
      <c r="F28" s="9">
        <v>250</v>
      </c>
      <c r="G28" s="9">
        <v>5</v>
      </c>
      <c r="H28" s="9">
        <v>150</v>
      </c>
      <c r="I28" s="14">
        <f t="shared" si="2"/>
        <v>1130</v>
      </c>
      <c r="J28" s="14">
        <f t="shared" si="3"/>
        <v>310</v>
      </c>
      <c r="K28" s="10" t="s">
        <v>49</v>
      </c>
      <c r="L28" s="10" t="s">
        <v>50</v>
      </c>
      <c r="M28" s="10" t="s">
        <v>51</v>
      </c>
      <c r="N28" s="11" t="s">
        <v>75</v>
      </c>
    </row>
    <row r="29" spans="1:14" ht="28.8" x14ac:dyDescent="0.3">
      <c r="A29" s="8">
        <v>46274</v>
      </c>
      <c r="B29" s="9">
        <v>420</v>
      </c>
      <c r="C29" s="9">
        <v>50</v>
      </c>
      <c r="D29" s="9">
        <v>110</v>
      </c>
      <c r="E29" s="9">
        <v>120</v>
      </c>
      <c r="F29" s="9">
        <v>200</v>
      </c>
      <c r="G29" s="9">
        <v>4</v>
      </c>
      <c r="H29" s="9">
        <v>180</v>
      </c>
      <c r="I29" s="14">
        <f t="shared" si="2"/>
        <v>1080</v>
      </c>
      <c r="J29" s="14">
        <f t="shared" si="3"/>
        <v>360</v>
      </c>
      <c r="K29" s="10" t="s">
        <v>58</v>
      </c>
      <c r="L29" s="10" t="s">
        <v>59</v>
      </c>
      <c r="M29" s="10" t="s">
        <v>54</v>
      </c>
      <c r="N29" s="11" t="s">
        <v>76</v>
      </c>
    </row>
    <row r="30" spans="1:14" ht="28.8" x14ac:dyDescent="0.3">
      <c r="A30" s="8">
        <v>46275</v>
      </c>
      <c r="B30" s="9">
        <v>450</v>
      </c>
      <c r="C30" s="9">
        <v>25</v>
      </c>
      <c r="D30" s="9">
        <v>135</v>
      </c>
      <c r="E30" s="9">
        <v>70</v>
      </c>
      <c r="F30" s="9">
        <v>300</v>
      </c>
      <c r="G30" s="9">
        <v>6</v>
      </c>
      <c r="H30" s="9">
        <v>155</v>
      </c>
      <c r="I30" s="14">
        <f t="shared" si="2"/>
        <v>1135</v>
      </c>
      <c r="J30" s="14">
        <f t="shared" si="3"/>
        <v>305</v>
      </c>
      <c r="K30" s="10" t="s">
        <v>55</v>
      </c>
      <c r="L30" s="10" t="s">
        <v>55</v>
      </c>
      <c r="M30" s="10" t="s">
        <v>51</v>
      </c>
      <c r="N30" s="11" t="s">
        <v>77</v>
      </c>
    </row>
    <row r="31" spans="1:14" ht="28.8" x14ac:dyDescent="0.3">
      <c r="A31" s="8">
        <v>46276</v>
      </c>
      <c r="B31" s="9">
        <v>420</v>
      </c>
      <c r="C31" s="9">
        <v>20</v>
      </c>
      <c r="D31" s="9">
        <v>80</v>
      </c>
      <c r="E31" s="9">
        <v>75</v>
      </c>
      <c r="F31" s="9">
        <v>350</v>
      </c>
      <c r="G31" s="9">
        <v>7</v>
      </c>
      <c r="H31" s="9">
        <v>175</v>
      </c>
      <c r="I31" s="14">
        <f t="shared" si="2"/>
        <v>1120</v>
      </c>
      <c r="J31" s="14">
        <f t="shared" si="3"/>
        <v>320</v>
      </c>
      <c r="K31" s="10" t="s">
        <v>56</v>
      </c>
      <c r="L31" s="10" t="s">
        <v>55</v>
      </c>
      <c r="M31" s="10" t="s">
        <v>56</v>
      </c>
      <c r="N31" s="11" t="s">
        <v>78</v>
      </c>
    </row>
    <row r="32" spans="1:14" ht="28.8" x14ac:dyDescent="0.3">
      <c r="A32" s="8">
        <v>46277</v>
      </c>
      <c r="B32" s="9">
        <v>510</v>
      </c>
      <c r="C32" s="9">
        <v>60</v>
      </c>
      <c r="D32" s="9">
        <v>165</v>
      </c>
      <c r="E32" s="9">
        <v>185</v>
      </c>
      <c r="F32" s="9">
        <v>0</v>
      </c>
      <c r="G32" s="9">
        <v>0</v>
      </c>
      <c r="H32" s="9">
        <v>215</v>
      </c>
      <c r="I32" s="14">
        <f t="shared" si="2"/>
        <v>1135</v>
      </c>
      <c r="J32" s="14">
        <f t="shared" si="3"/>
        <v>305</v>
      </c>
      <c r="K32" s="10" t="s">
        <v>58</v>
      </c>
      <c r="L32" s="10" t="s">
        <v>59</v>
      </c>
      <c r="M32" s="10" t="s">
        <v>54</v>
      </c>
      <c r="N32" s="11" t="s">
        <v>94</v>
      </c>
    </row>
    <row r="33" spans="1:14" ht="28.8" x14ac:dyDescent="0.3">
      <c r="A33" s="8">
        <v>46278</v>
      </c>
      <c r="B33" s="9">
        <v>480</v>
      </c>
      <c r="C33" s="9">
        <v>45</v>
      </c>
      <c r="D33" s="9">
        <v>120</v>
      </c>
      <c r="E33" s="9">
        <v>90</v>
      </c>
      <c r="F33" s="9">
        <v>0</v>
      </c>
      <c r="G33" s="9">
        <v>0</v>
      </c>
      <c r="H33" s="9">
        <v>295</v>
      </c>
      <c r="I33" s="14">
        <f t="shared" si="2"/>
        <v>1030</v>
      </c>
      <c r="J33" s="14">
        <f t="shared" si="3"/>
        <v>410</v>
      </c>
      <c r="K33" s="10" t="s">
        <v>49</v>
      </c>
      <c r="L33" s="10" t="s">
        <v>50</v>
      </c>
      <c r="M33" s="10" t="s">
        <v>54</v>
      </c>
      <c r="N33" s="11" t="s">
        <v>79</v>
      </c>
    </row>
    <row r="34" spans="1:14" ht="28.8" x14ac:dyDescent="0.3">
      <c r="A34" s="8">
        <v>46279</v>
      </c>
      <c r="B34" s="9">
        <v>420</v>
      </c>
      <c r="C34" s="9">
        <v>40</v>
      </c>
      <c r="D34" s="9">
        <v>115</v>
      </c>
      <c r="E34" s="9">
        <v>100</v>
      </c>
      <c r="F34" s="9">
        <v>250</v>
      </c>
      <c r="G34" s="9">
        <v>5</v>
      </c>
      <c r="H34" s="9">
        <v>165</v>
      </c>
      <c r="I34" s="14">
        <f t="shared" si="2"/>
        <v>1090</v>
      </c>
      <c r="J34" s="14">
        <f t="shared" si="3"/>
        <v>350</v>
      </c>
      <c r="K34" s="10" t="s">
        <v>49</v>
      </c>
      <c r="L34" s="10" t="s">
        <v>50</v>
      </c>
      <c r="M34" s="10" t="s">
        <v>54</v>
      </c>
      <c r="N34" s="11" t="s">
        <v>80</v>
      </c>
    </row>
    <row r="35" spans="1:14" ht="28.8" x14ac:dyDescent="0.3">
      <c r="A35" s="8">
        <v>46280</v>
      </c>
      <c r="B35" s="9">
        <v>450</v>
      </c>
      <c r="C35" s="9">
        <v>30</v>
      </c>
      <c r="D35" s="9">
        <v>145</v>
      </c>
      <c r="E35" s="9">
        <v>110</v>
      </c>
      <c r="F35" s="9">
        <v>250</v>
      </c>
      <c r="G35" s="9">
        <v>5</v>
      </c>
      <c r="H35" s="9">
        <v>145</v>
      </c>
      <c r="I35" s="14">
        <f t="shared" si="2"/>
        <v>1130</v>
      </c>
      <c r="J35" s="14">
        <f t="shared" si="3"/>
        <v>310</v>
      </c>
      <c r="K35" s="10" t="s">
        <v>49</v>
      </c>
      <c r="L35" s="10" t="s">
        <v>50</v>
      </c>
      <c r="M35" s="10" t="s">
        <v>51</v>
      </c>
      <c r="N35" s="11" t="s">
        <v>81</v>
      </c>
    </row>
    <row r="36" spans="1:14" ht="43.2" x14ac:dyDescent="0.3">
      <c r="A36" s="8">
        <v>46281</v>
      </c>
      <c r="B36" s="9">
        <v>420</v>
      </c>
      <c r="C36" s="9">
        <v>55</v>
      </c>
      <c r="D36" s="9">
        <v>100</v>
      </c>
      <c r="E36" s="9">
        <v>135</v>
      </c>
      <c r="F36" s="9">
        <v>200</v>
      </c>
      <c r="G36" s="9">
        <v>4</v>
      </c>
      <c r="H36" s="9">
        <v>180</v>
      </c>
      <c r="I36" s="14">
        <f t="shared" si="2"/>
        <v>1090</v>
      </c>
      <c r="J36" s="14">
        <f t="shared" si="3"/>
        <v>350</v>
      </c>
      <c r="K36" s="10" t="s">
        <v>58</v>
      </c>
      <c r="L36" s="10" t="s">
        <v>59</v>
      </c>
      <c r="M36" s="10" t="s">
        <v>54</v>
      </c>
      <c r="N36" s="11" t="s">
        <v>82</v>
      </c>
    </row>
    <row r="37" spans="1:14" ht="28.8" x14ac:dyDescent="0.3">
      <c r="A37" s="8">
        <v>46282</v>
      </c>
      <c r="B37" s="9">
        <v>450</v>
      </c>
      <c r="C37" s="9">
        <v>25</v>
      </c>
      <c r="D37" s="9">
        <v>125</v>
      </c>
      <c r="E37" s="9">
        <v>75</v>
      </c>
      <c r="F37" s="9">
        <v>300</v>
      </c>
      <c r="G37" s="9">
        <v>6</v>
      </c>
      <c r="H37" s="9">
        <v>160</v>
      </c>
      <c r="I37" s="14">
        <f t="shared" si="2"/>
        <v>1135</v>
      </c>
      <c r="J37" s="14">
        <f t="shared" si="3"/>
        <v>305</v>
      </c>
      <c r="K37" s="10" t="s">
        <v>55</v>
      </c>
      <c r="L37" s="10" t="s">
        <v>55</v>
      </c>
      <c r="M37" s="10" t="s">
        <v>51</v>
      </c>
      <c r="N37" s="11" t="s">
        <v>83</v>
      </c>
    </row>
    <row r="38" spans="1:14" x14ac:dyDescent="0.3">
      <c r="A38" s="8">
        <v>46283</v>
      </c>
      <c r="B38" s="9">
        <v>420</v>
      </c>
      <c r="C38" s="9">
        <v>20</v>
      </c>
      <c r="D38" s="9">
        <v>85</v>
      </c>
      <c r="E38" s="9">
        <v>70</v>
      </c>
      <c r="F38" s="9">
        <v>350</v>
      </c>
      <c r="G38" s="9">
        <v>7</v>
      </c>
      <c r="H38" s="9">
        <v>185</v>
      </c>
      <c r="I38" s="14">
        <f t="shared" si="2"/>
        <v>1130</v>
      </c>
      <c r="J38" s="14">
        <f t="shared" si="3"/>
        <v>310</v>
      </c>
      <c r="K38" s="10" t="s">
        <v>60</v>
      </c>
      <c r="L38" s="10" t="s">
        <v>61</v>
      </c>
      <c r="M38" s="10" t="s">
        <v>56</v>
      </c>
      <c r="N38" s="11" t="s">
        <v>84</v>
      </c>
    </row>
    <row r="39" spans="1:14" ht="28.8" x14ac:dyDescent="0.3">
      <c r="A39" s="8">
        <v>46284</v>
      </c>
      <c r="B39" s="9">
        <v>510</v>
      </c>
      <c r="C39" s="9">
        <v>55</v>
      </c>
      <c r="D39" s="9">
        <v>150</v>
      </c>
      <c r="E39" s="9">
        <v>195</v>
      </c>
      <c r="F39" s="9">
        <v>0</v>
      </c>
      <c r="G39" s="9">
        <v>0</v>
      </c>
      <c r="H39" s="9">
        <v>220</v>
      </c>
      <c r="I39" s="14">
        <f t="shared" si="2"/>
        <v>1130</v>
      </c>
      <c r="J39" s="14">
        <f t="shared" si="3"/>
        <v>310</v>
      </c>
      <c r="K39" s="10" t="s">
        <v>58</v>
      </c>
      <c r="L39" s="10" t="s">
        <v>59</v>
      </c>
      <c r="M39" s="10" t="s">
        <v>54</v>
      </c>
      <c r="N39" s="11" t="s">
        <v>85</v>
      </c>
    </row>
    <row r="40" spans="1:14" ht="28.8" x14ac:dyDescent="0.3">
      <c r="A40" s="8">
        <v>46285</v>
      </c>
      <c r="B40" s="9">
        <v>480</v>
      </c>
      <c r="C40" s="9">
        <v>35</v>
      </c>
      <c r="D40" s="9">
        <v>115</v>
      </c>
      <c r="E40" s="9">
        <v>85</v>
      </c>
      <c r="F40" s="9">
        <v>0</v>
      </c>
      <c r="G40" s="9">
        <v>0</v>
      </c>
      <c r="H40" s="9">
        <v>305</v>
      </c>
      <c r="I40" s="14">
        <f t="shared" si="2"/>
        <v>1020</v>
      </c>
      <c r="J40" s="14">
        <f t="shared" si="3"/>
        <v>420</v>
      </c>
      <c r="K40" s="10" t="s">
        <v>49</v>
      </c>
      <c r="L40" s="10" t="s">
        <v>50</v>
      </c>
      <c r="M40" s="10" t="s">
        <v>51</v>
      </c>
      <c r="N40" s="11" t="s">
        <v>96</v>
      </c>
    </row>
    <row r="41" spans="1:14" ht="43.2" x14ac:dyDescent="0.3">
      <c r="A41" s="8">
        <v>46286</v>
      </c>
      <c r="B41" s="9">
        <v>420</v>
      </c>
      <c r="C41" s="9">
        <v>40</v>
      </c>
      <c r="D41" s="9">
        <v>120</v>
      </c>
      <c r="E41" s="9">
        <v>95</v>
      </c>
      <c r="F41" s="9">
        <v>250</v>
      </c>
      <c r="G41" s="9">
        <v>5</v>
      </c>
      <c r="H41" s="9">
        <v>170</v>
      </c>
      <c r="I41" s="14">
        <f t="shared" si="2"/>
        <v>1095</v>
      </c>
      <c r="J41" s="14">
        <f t="shared" si="3"/>
        <v>345</v>
      </c>
      <c r="K41" s="10" t="s">
        <v>49</v>
      </c>
      <c r="L41" s="10" t="s">
        <v>50</v>
      </c>
      <c r="M41" s="10" t="s">
        <v>54</v>
      </c>
      <c r="N41" s="11" t="s">
        <v>86</v>
      </c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4"/>
      <c r="J42" s="14"/>
      <c r="K42" s="10"/>
      <c r="L42" s="10"/>
      <c r="M42" s="10"/>
      <c r="N42" s="11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4"/>
      <c r="J43" s="14"/>
      <c r="K43" s="10"/>
      <c r="L43" s="10"/>
      <c r="M43" s="10"/>
      <c r="N43" s="11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4"/>
      <c r="J44" s="14"/>
      <c r="K44" s="10"/>
      <c r="L44" s="10"/>
      <c r="M44" s="10"/>
      <c r="N44" s="11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4"/>
      <c r="J45" s="14"/>
      <c r="K45" s="10"/>
      <c r="L45" s="10"/>
      <c r="M45" s="10"/>
      <c r="N45" s="11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4" t="str">
        <f t="shared" si="2"/>
        <v/>
      </c>
      <c r="J46" s="14" t="str">
        <f t="shared" si="3"/>
        <v/>
      </c>
      <c r="K46" s="10"/>
      <c r="L46" s="10"/>
      <c r="M46" s="10"/>
      <c r="N46" s="11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4" t="str">
        <f t="shared" si="2"/>
        <v/>
      </c>
      <c r="J47" s="14" t="str">
        <f t="shared" si="3"/>
        <v/>
      </c>
      <c r="K47" s="10"/>
      <c r="L47" s="10"/>
      <c r="M47" s="10"/>
      <c r="N47" s="11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4" t="str">
        <f t="shared" si="2"/>
        <v/>
      </c>
      <c r="J48" s="14" t="str">
        <f t="shared" si="3"/>
        <v/>
      </c>
      <c r="K48" s="10"/>
      <c r="L48" s="10"/>
      <c r="M48" s="10"/>
      <c r="N48" s="11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4" t="str">
        <f t="shared" si="2"/>
        <v/>
      </c>
      <c r="J49" s="14" t="str">
        <f t="shared" si="3"/>
        <v/>
      </c>
      <c r="K49" s="10"/>
      <c r="L49" s="10"/>
      <c r="M49" s="10"/>
      <c r="N49" s="11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4" t="str">
        <f t="shared" si="2"/>
        <v/>
      </c>
      <c r="J50" s="14" t="str">
        <f t="shared" si="3"/>
        <v/>
      </c>
      <c r="K50" s="10"/>
      <c r="L50" s="10"/>
      <c r="M50" s="10"/>
      <c r="N50" s="11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4" t="str">
        <f t="shared" si="2"/>
        <v/>
      </c>
      <c r="J51" s="14" t="str">
        <f t="shared" si="3"/>
        <v/>
      </c>
      <c r="K51" s="10"/>
      <c r="L51" s="10"/>
      <c r="M51" s="10"/>
      <c r="N51" s="11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4" t="str">
        <f t="shared" si="2"/>
        <v/>
      </c>
      <c r="J52" s="14" t="str">
        <f t="shared" si="3"/>
        <v/>
      </c>
      <c r="K52" s="10"/>
      <c r="L52" s="10"/>
      <c r="M52" s="10"/>
      <c r="N52" s="11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4" t="str">
        <f t="shared" si="2"/>
        <v/>
      </c>
      <c r="J53" s="14" t="str">
        <f t="shared" si="3"/>
        <v/>
      </c>
      <c r="K53" s="10"/>
      <c r="L53" s="10"/>
      <c r="M53" s="10"/>
      <c r="N53" s="11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4" t="str">
        <f t="shared" si="2"/>
        <v/>
      </c>
      <c r="J54" s="14" t="str">
        <f t="shared" si="3"/>
        <v/>
      </c>
      <c r="K54" s="10"/>
      <c r="L54" s="10"/>
      <c r="M54" s="10"/>
      <c r="N54" s="11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4" t="str">
        <f t="shared" si="2"/>
        <v/>
      </c>
      <c r="J55" s="14" t="str">
        <f t="shared" si="3"/>
        <v/>
      </c>
      <c r="K55" s="10"/>
      <c r="L55" s="10"/>
      <c r="M55" s="10"/>
      <c r="N55" s="11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4" t="str">
        <f t="shared" si="2"/>
        <v/>
      </c>
      <c r="J56" s="14" t="str">
        <f t="shared" si="3"/>
        <v/>
      </c>
      <c r="K56" s="10"/>
      <c r="L56" s="10"/>
      <c r="M56" s="10"/>
      <c r="N56" s="11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4" t="str">
        <f t="shared" si="2"/>
        <v/>
      </c>
      <c r="J57" s="14" t="str">
        <f t="shared" si="3"/>
        <v/>
      </c>
      <c r="K57" s="10"/>
      <c r="L57" s="10"/>
      <c r="M57" s="10"/>
      <c r="N57" s="11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4" t="str">
        <f t="shared" si="2"/>
        <v/>
      </c>
      <c r="J58" s="14" t="str">
        <f t="shared" si="3"/>
        <v/>
      </c>
      <c r="K58" s="10"/>
      <c r="L58" s="10"/>
      <c r="M58" s="10"/>
      <c r="N58" s="11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4" t="str">
        <f t="shared" si="2"/>
        <v/>
      </c>
      <c r="J59" s="14" t="str">
        <f t="shared" si="3"/>
        <v/>
      </c>
      <c r="K59" s="10"/>
      <c r="L59" s="10"/>
      <c r="M59" s="10"/>
      <c r="N59" s="11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4" t="str">
        <f t="shared" si="2"/>
        <v/>
      </c>
      <c r="J60" s="14" t="str">
        <f t="shared" si="3"/>
        <v/>
      </c>
      <c r="K60" s="10"/>
      <c r="L60" s="10"/>
      <c r="M60" s="10"/>
      <c r="N60" s="11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4" t="str">
        <f t="shared" si="2"/>
        <v/>
      </c>
      <c r="J61" s="14" t="str">
        <f t="shared" si="3"/>
        <v/>
      </c>
      <c r="K61" s="10"/>
      <c r="L61" s="10"/>
      <c r="M61" s="10"/>
      <c r="N61" s="11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4" t="str">
        <f t="shared" si="2"/>
        <v/>
      </c>
      <c r="J62" s="14" t="str">
        <f t="shared" si="3"/>
        <v/>
      </c>
      <c r="K62" s="10"/>
      <c r="L62" s="10"/>
      <c r="M62" s="10"/>
      <c r="N62" s="11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4" t="str">
        <f t="shared" si="2"/>
        <v/>
      </c>
      <c r="J63" s="14" t="str">
        <f t="shared" si="3"/>
        <v/>
      </c>
      <c r="K63" s="10"/>
      <c r="L63" s="10"/>
      <c r="M63" s="10"/>
      <c r="N63" s="11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4" t="str">
        <f t="shared" si="2"/>
        <v/>
      </c>
      <c r="J64" s="14" t="str">
        <f t="shared" si="3"/>
        <v/>
      </c>
      <c r="K64" s="10"/>
      <c r="L64" s="10"/>
      <c r="M64" s="10"/>
      <c r="N64" s="11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4" t="str">
        <f t="shared" si="2"/>
        <v/>
      </c>
      <c r="J65" s="14" t="str">
        <f t="shared" si="3"/>
        <v/>
      </c>
      <c r="K65" s="10"/>
      <c r="L65" s="10"/>
      <c r="M65" s="10"/>
      <c r="N65" s="11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4" t="str">
        <f t="shared" si="2"/>
        <v/>
      </c>
      <c r="J66" s="14" t="str">
        <f t="shared" si="3"/>
        <v/>
      </c>
      <c r="K66" s="10"/>
      <c r="L66" s="10"/>
      <c r="M66" s="10"/>
      <c r="N66" s="11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4" t="str">
        <f t="shared" si="2"/>
        <v/>
      </c>
      <c r="J67" s="14" t="str">
        <f t="shared" si="3"/>
        <v/>
      </c>
      <c r="K67" s="10"/>
      <c r="L67" s="10"/>
      <c r="M67" s="10"/>
      <c r="N67" s="11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4" t="str">
        <f t="shared" si="2"/>
        <v/>
      </c>
      <c r="J68" s="14" t="str">
        <f t="shared" si="3"/>
        <v/>
      </c>
      <c r="K68" s="10"/>
      <c r="L68" s="10"/>
      <c r="M68" s="10"/>
      <c r="N68" s="11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4" t="str">
        <f t="shared" si="2"/>
        <v/>
      </c>
      <c r="J69" s="14" t="str">
        <f t="shared" si="3"/>
        <v/>
      </c>
      <c r="K69" s="10"/>
      <c r="L69" s="10"/>
      <c r="M69" s="10"/>
      <c r="N69" s="11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4" t="str">
        <f t="shared" si="2"/>
        <v/>
      </c>
      <c r="J70" s="14" t="str">
        <f t="shared" si="3"/>
        <v/>
      </c>
      <c r="K70" s="10"/>
      <c r="L70" s="10"/>
      <c r="M70" s="10"/>
      <c r="N70" s="11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4" t="str">
        <f t="shared" si="2"/>
        <v/>
      </c>
      <c r="J71" s="14" t="str">
        <f t="shared" si="3"/>
        <v/>
      </c>
      <c r="K71" s="10"/>
      <c r="L71" s="10"/>
      <c r="M71" s="10"/>
      <c r="N71" s="11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4" t="str">
        <f t="shared" si="2"/>
        <v/>
      </c>
      <c r="J72" s="14" t="str">
        <f t="shared" si="3"/>
        <v/>
      </c>
      <c r="K72" s="10"/>
      <c r="L72" s="10"/>
      <c r="M72" s="10"/>
      <c r="N72" s="11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4" t="str">
        <f t="shared" si="2"/>
        <v/>
      </c>
      <c r="J73" s="14" t="str">
        <f t="shared" si="3"/>
        <v/>
      </c>
      <c r="K73" s="10"/>
      <c r="L73" s="10"/>
      <c r="M73" s="10"/>
      <c r="N73" s="11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4" t="str">
        <f t="shared" si="2"/>
        <v/>
      </c>
      <c r="J74" s="14" t="str">
        <f t="shared" si="3"/>
        <v/>
      </c>
      <c r="K74" s="10"/>
      <c r="L74" s="10"/>
      <c r="M74" s="10"/>
      <c r="N74" s="11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4" t="str">
        <f t="shared" si="2"/>
        <v/>
      </c>
      <c r="J75" s="14" t="str">
        <f t="shared" si="3"/>
        <v/>
      </c>
      <c r="K75" s="10"/>
      <c r="L75" s="10"/>
      <c r="M75" s="10"/>
      <c r="N75" s="11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4" t="str">
        <f t="shared" si="2"/>
        <v/>
      </c>
      <c r="J76" s="14" t="str">
        <f t="shared" si="3"/>
        <v/>
      </c>
      <c r="K76" s="10"/>
      <c r="L76" s="10"/>
      <c r="M76" s="10"/>
      <c r="N76" s="11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4" t="str">
        <f t="shared" ref="I77:I140" si="4">IF(SUM(B77:F77,H77)=0,"",SUM(B77:F77,H77))</f>
        <v/>
      </c>
      <c r="J77" s="14" t="str">
        <f t="shared" ref="J77:J140" si="5">IF(I77="","",1440-I77)</f>
        <v/>
      </c>
      <c r="K77" s="10"/>
      <c r="L77" s="10"/>
      <c r="M77" s="10"/>
      <c r="N77" s="11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4" t="str">
        <f t="shared" si="4"/>
        <v/>
      </c>
      <c r="J78" s="14" t="str">
        <f t="shared" si="5"/>
        <v/>
      </c>
      <c r="K78" s="10"/>
      <c r="L78" s="10"/>
      <c r="M78" s="10"/>
      <c r="N78" s="11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4" t="str">
        <f t="shared" si="4"/>
        <v/>
      </c>
      <c r="J79" s="14" t="str">
        <f t="shared" si="5"/>
        <v/>
      </c>
      <c r="K79" s="10"/>
      <c r="L79" s="10"/>
      <c r="M79" s="10"/>
      <c r="N79" s="11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4" t="str">
        <f t="shared" si="4"/>
        <v/>
      </c>
      <c r="J80" s="14" t="str">
        <f t="shared" si="5"/>
        <v/>
      </c>
      <c r="K80" s="10"/>
      <c r="L80" s="10"/>
      <c r="M80" s="10"/>
      <c r="N80" s="11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4" t="str">
        <f t="shared" si="4"/>
        <v/>
      </c>
      <c r="J81" s="14" t="str">
        <f t="shared" si="5"/>
        <v/>
      </c>
      <c r="K81" s="10"/>
      <c r="L81" s="10"/>
      <c r="M81" s="10"/>
      <c r="N81" s="11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4" t="str">
        <f t="shared" si="4"/>
        <v/>
      </c>
      <c r="J82" s="14" t="str">
        <f t="shared" si="5"/>
        <v/>
      </c>
      <c r="K82" s="10"/>
      <c r="L82" s="10"/>
      <c r="M82" s="10"/>
      <c r="N82" s="11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4" t="str">
        <f t="shared" si="4"/>
        <v/>
      </c>
      <c r="J83" s="14" t="str">
        <f t="shared" si="5"/>
        <v/>
      </c>
      <c r="K83" s="10"/>
      <c r="L83" s="10"/>
      <c r="M83" s="10"/>
      <c r="N83" s="11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4" t="str">
        <f t="shared" si="4"/>
        <v/>
      </c>
      <c r="J84" s="14" t="str">
        <f t="shared" si="5"/>
        <v/>
      </c>
      <c r="K84" s="10"/>
      <c r="L84" s="10"/>
      <c r="M84" s="10"/>
      <c r="N84" s="11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4" t="str">
        <f t="shared" si="4"/>
        <v/>
      </c>
      <c r="J85" s="14" t="str">
        <f t="shared" si="5"/>
        <v/>
      </c>
      <c r="K85" s="10"/>
      <c r="L85" s="10"/>
      <c r="M85" s="10"/>
      <c r="N85" s="11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4" t="str">
        <f t="shared" si="4"/>
        <v/>
      </c>
      <c r="J86" s="14" t="str">
        <f t="shared" si="5"/>
        <v/>
      </c>
      <c r="K86" s="10"/>
      <c r="L86" s="10"/>
      <c r="M86" s="10"/>
      <c r="N86" s="11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4" t="str">
        <f t="shared" si="4"/>
        <v/>
      </c>
      <c r="J87" s="14" t="str">
        <f t="shared" si="5"/>
        <v/>
      </c>
      <c r="K87" s="10"/>
      <c r="L87" s="10"/>
      <c r="M87" s="10"/>
      <c r="N87" s="11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4" t="str">
        <f t="shared" si="4"/>
        <v/>
      </c>
      <c r="J88" s="14" t="str">
        <f t="shared" si="5"/>
        <v/>
      </c>
      <c r="K88" s="10"/>
      <c r="L88" s="10"/>
      <c r="M88" s="10"/>
      <c r="N88" s="11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4" t="str">
        <f t="shared" si="4"/>
        <v/>
      </c>
      <c r="J89" s="14" t="str">
        <f t="shared" si="5"/>
        <v/>
      </c>
      <c r="K89" s="10"/>
      <c r="L89" s="10"/>
      <c r="M89" s="10"/>
      <c r="N89" s="11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4" t="str">
        <f t="shared" si="4"/>
        <v/>
      </c>
      <c r="J90" s="14" t="str">
        <f t="shared" si="5"/>
        <v/>
      </c>
      <c r="K90" s="10"/>
      <c r="L90" s="10"/>
      <c r="M90" s="10"/>
      <c r="N90" s="11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4" t="str">
        <f t="shared" si="4"/>
        <v/>
      </c>
      <c r="J91" s="14" t="str">
        <f t="shared" si="5"/>
        <v/>
      </c>
      <c r="K91" s="10"/>
      <c r="L91" s="10"/>
      <c r="M91" s="10"/>
      <c r="N91" s="11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4" t="str">
        <f t="shared" si="4"/>
        <v/>
      </c>
      <c r="J92" s="14" t="str">
        <f t="shared" si="5"/>
        <v/>
      </c>
      <c r="K92" s="10"/>
      <c r="L92" s="10"/>
      <c r="M92" s="10"/>
      <c r="N92" s="11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4" t="str">
        <f t="shared" si="4"/>
        <v/>
      </c>
      <c r="J93" s="14" t="str">
        <f t="shared" si="5"/>
        <v/>
      </c>
      <c r="K93" s="10"/>
      <c r="L93" s="10"/>
      <c r="M93" s="10"/>
      <c r="N93" s="11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4" t="str">
        <f t="shared" si="4"/>
        <v/>
      </c>
      <c r="J94" s="14" t="str">
        <f t="shared" si="5"/>
        <v/>
      </c>
      <c r="K94" s="10"/>
      <c r="L94" s="10"/>
      <c r="M94" s="10"/>
      <c r="N94" s="11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4" t="str">
        <f t="shared" si="4"/>
        <v/>
      </c>
      <c r="J95" s="14" t="str">
        <f t="shared" si="5"/>
        <v/>
      </c>
      <c r="K95" s="10"/>
      <c r="L95" s="10"/>
      <c r="M95" s="10"/>
      <c r="N95" s="11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4" t="str">
        <f t="shared" si="4"/>
        <v/>
      </c>
      <c r="J96" s="14" t="str">
        <f t="shared" si="5"/>
        <v/>
      </c>
      <c r="K96" s="10"/>
      <c r="L96" s="10"/>
      <c r="M96" s="10"/>
      <c r="N96" s="11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4" t="str">
        <f t="shared" si="4"/>
        <v/>
      </c>
      <c r="J97" s="14" t="str">
        <f t="shared" si="5"/>
        <v/>
      </c>
      <c r="K97" s="10"/>
      <c r="L97" s="10"/>
      <c r="M97" s="10"/>
      <c r="N97" s="11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4" t="str">
        <f t="shared" si="4"/>
        <v/>
      </c>
      <c r="J98" s="14" t="str">
        <f t="shared" si="5"/>
        <v/>
      </c>
      <c r="K98" s="10"/>
      <c r="L98" s="10"/>
      <c r="M98" s="10"/>
      <c r="N98" s="11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4" t="str">
        <f t="shared" si="4"/>
        <v/>
      </c>
      <c r="J99" s="14" t="str">
        <f t="shared" si="5"/>
        <v/>
      </c>
      <c r="K99" s="10"/>
      <c r="L99" s="10"/>
      <c r="M99" s="10"/>
      <c r="N99" s="11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4" t="str">
        <f t="shared" si="4"/>
        <v/>
      </c>
      <c r="J100" s="14" t="str">
        <f t="shared" si="5"/>
        <v/>
      </c>
      <c r="K100" s="10"/>
      <c r="L100" s="10"/>
      <c r="M100" s="10"/>
      <c r="N100" s="11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4" t="str">
        <f t="shared" si="4"/>
        <v/>
      </c>
      <c r="J101" s="14" t="str">
        <f t="shared" si="5"/>
        <v/>
      </c>
      <c r="K101" s="10"/>
      <c r="L101" s="10"/>
      <c r="M101" s="10"/>
      <c r="N101" s="11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4" t="str">
        <f t="shared" si="4"/>
        <v/>
      </c>
      <c r="J102" s="14" t="str">
        <f t="shared" si="5"/>
        <v/>
      </c>
      <c r="K102" s="10"/>
      <c r="L102" s="10"/>
      <c r="M102" s="10"/>
      <c r="N102" s="11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4" t="str">
        <f t="shared" si="4"/>
        <v/>
      </c>
      <c r="J103" s="14" t="str">
        <f t="shared" si="5"/>
        <v/>
      </c>
      <c r="K103" s="10"/>
      <c r="L103" s="10"/>
      <c r="M103" s="10"/>
      <c r="N103" s="11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4" t="str">
        <f t="shared" si="4"/>
        <v/>
      </c>
      <c r="J104" s="14" t="str">
        <f t="shared" si="5"/>
        <v/>
      </c>
      <c r="K104" s="10"/>
      <c r="L104" s="10"/>
      <c r="M104" s="10"/>
      <c r="N104" s="11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4" t="str">
        <f t="shared" si="4"/>
        <v/>
      </c>
      <c r="J105" s="14" t="str">
        <f t="shared" si="5"/>
        <v/>
      </c>
      <c r="K105" s="10"/>
      <c r="L105" s="10"/>
      <c r="M105" s="10"/>
      <c r="N105" s="11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4" t="str">
        <f t="shared" si="4"/>
        <v/>
      </c>
      <c r="J106" s="14" t="str">
        <f t="shared" si="5"/>
        <v/>
      </c>
      <c r="K106" s="10"/>
      <c r="L106" s="10"/>
      <c r="M106" s="10"/>
      <c r="N106" s="11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4" t="str">
        <f t="shared" si="4"/>
        <v/>
      </c>
      <c r="J107" s="14" t="str">
        <f t="shared" si="5"/>
        <v/>
      </c>
      <c r="K107" s="10"/>
      <c r="L107" s="10"/>
      <c r="M107" s="10"/>
      <c r="N107" s="11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4" t="str">
        <f t="shared" si="4"/>
        <v/>
      </c>
      <c r="J108" s="14" t="str">
        <f t="shared" si="5"/>
        <v/>
      </c>
      <c r="K108" s="10"/>
      <c r="L108" s="10"/>
      <c r="M108" s="10"/>
      <c r="N108" s="11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4" t="str">
        <f t="shared" si="4"/>
        <v/>
      </c>
      <c r="J109" s="14" t="str">
        <f t="shared" si="5"/>
        <v/>
      </c>
      <c r="K109" s="10"/>
      <c r="L109" s="10"/>
      <c r="M109" s="10"/>
      <c r="N109" s="11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4" t="str">
        <f t="shared" si="4"/>
        <v/>
      </c>
      <c r="J110" s="14" t="str">
        <f t="shared" si="5"/>
        <v/>
      </c>
      <c r="K110" s="10"/>
      <c r="L110" s="10"/>
      <c r="M110" s="10"/>
      <c r="N110" s="11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4" t="str">
        <f t="shared" si="4"/>
        <v/>
      </c>
      <c r="J111" s="14" t="str">
        <f t="shared" si="5"/>
        <v/>
      </c>
      <c r="K111" s="10"/>
      <c r="L111" s="10"/>
      <c r="M111" s="10"/>
      <c r="N111" s="11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4" t="str">
        <f t="shared" si="4"/>
        <v/>
      </c>
      <c r="J112" s="14" t="str">
        <f t="shared" si="5"/>
        <v/>
      </c>
      <c r="K112" s="10"/>
      <c r="L112" s="10"/>
      <c r="M112" s="10"/>
      <c r="N112" s="11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4" t="str">
        <f t="shared" si="4"/>
        <v/>
      </c>
      <c r="J113" s="14" t="str">
        <f t="shared" si="5"/>
        <v/>
      </c>
      <c r="K113" s="10"/>
      <c r="L113" s="10"/>
      <c r="M113" s="10"/>
      <c r="N113" s="11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4" t="str">
        <f t="shared" si="4"/>
        <v/>
      </c>
      <c r="J114" s="14" t="str">
        <f t="shared" si="5"/>
        <v/>
      </c>
      <c r="K114" s="10"/>
      <c r="L114" s="10"/>
      <c r="M114" s="10"/>
      <c r="N114" s="11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4" t="str">
        <f t="shared" si="4"/>
        <v/>
      </c>
      <c r="J115" s="14" t="str">
        <f t="shared" si="5"/>
        <v/>
      </c>
      <c r="K115" s="10"/>
      <c r="L115" s="10"/>
      <c r="M115" s="10"/>
      <c r="N115" s="11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4" t="str">
        <f t="shared" si="4"/>
        <v/>
      </c>
      <c r="J116" s="14" t="str">
        <f t="shared" si="5"/>
        <v/>
      </c>
      <c r="K116" s="10"/>
      <c r="L116" s="10"/>
      <c r="M116" s="10"/>
      <c r="N116" s="11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4" t="str">
        <f t="shared" si="4"/>
        <v/>
      </c>
      <c r="J117" s="14" t="str">
        <f t="shared" si="5"/>
        <v/>
      </c>
      <c r="K117" s="10"/>
      <c r="L117" s="10"/>
      <c r="M117" s="10"/>
      <c r="N117" s="11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4" t="str">
        <f t="shared" si="4"/>
        <v/>
      </c>
      <c r="J118" s="14" t="str">
        <f t="shared" si="5"/>
        <v/>
      </c>
      <c r="K118" s="10"/>
      <c r="L118" s="10"/>
      <c r="M118" s="10"/>
      <c r="N118" s="11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4" t="str">
        <f t="shared" si="4"/>
        <v/>
      </c>
      <c r="J119" s="14" t="str">
        <f t="shared" si="5"/>
        <v/>
      </c>
      <c r="K119" s="10"/>
      <c r="L119" s="10"/>
      <c r="M119" s="10"/>
      <c r="N119" s="11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4" t="str">
        <f t="shared" si="4"/>
        <v/>
      </c>
      <c r="J120" s="14" t="str">
        <f t="shared" si="5"/>
        <v/>
      </c>
      <c r="K120" s="10"/>
      <c r="L120" s="10"/>
      <c r="M120" s="10"/>
      <c r="N120" s="11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4" t="str">
        <f t="shared" si="4"/>
        <v/>
      </c>
      <c r="J121" s="14" t="str">
        <f t="shared" si="5"/>
        <v/>
      </c>
      <c r="K121" s="10"/>
      <c r="L121" s="10"/>
      <c r="M121" s="10"/>
      <c r="N121" s="11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4" t="str">
        <f t="shared" si="4"/>
        <v/>
      </c>
      <c r="J122" s="14" t="str">
        <f t="shared" si="5"/>
        <v/>
      </c>
      <c r="K122" s="10"/>
      <c r="L122" s="10"/>
      <c r="M122" s="10"/>
      <c r="N122" s="11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4" t="str">
        <f t="shared" si="4"/>
        <v/>
      </c>
      <c r="J123" s="14" t="str">
        <f t="shared" si="5"/>
        <v/>
      </c>
      <c r="K123" s="10"/>
      <c r="L123" s="10"/>
      <c r="M123" s="10"/>
      <c r="N123" s="11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4" t="str">
        <f t="shared" si="4"/>
        <v/>
      </c>
      <c r="J124" s="14" t="str">
        <f t="shared" si="5"/>
        <v/>
      </c>
      <c r="K124" s="10"/>
      <c r="L124" s="10"/>
      <c r="M124" s="10"/>
      <c r="N124" s="11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4" t="str">
        <f t="shared" si="4"/>
        <v/>
      </c>
      <c r="J125" s="14" t="str">
        <f t="shared" si="5"/>
        <v/>
      </c>
      <c r="K125" s="10"/>
      <c r="L125" s="10"/>
      <c r="M125" s="10"/>
      <c r="N125" s="11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4" t="str">
        <f t="shared" si="4"/>
        <v/>
      </c>
      <c r="J126" s="14" t="str">
        <f t="shared" si="5"/>
        <v/>
      </c>
      <c r="K126" s="10"/>
      <c r="L126" s="10"/>
      <c r="M126" s="10"/>
      <c r="N126" s="11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4" t="str">
        <f t="shared" si="4"/>
        <v/>
      </c>
      <c r="J127" s="14" t="str">
        <f t="shared" si="5"/>
        <v/>
      </c>
      <c r="K127" s="10"/>
      <c r="L127" s="10"/>
      <c r="M127" s="10"/>
      <c r="N127" s="11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4" t="str">
        <f t="shared" si="4"/>
        <v/>
      </c>
      <c r="J128" s="14" t="str">
        <f t="shared" si="5"/>
        <v/>
      </c>
      <c r="K128" s="10"/>
      <c r="L128" s="10"/>
      <c r="M128" s="10"/>
      <c r="N128" s="11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4" t="str">
        <f t="shared" si="4"/>
        <v/>
      </c>
      <c r="J129" s="14" t="str">
        <f t="shared" si="5"/>
        <v/>
      </c>
      <c r="K129" s="10"/>
      <c r="L129" s="10"/>
      <c r="M129" s="10"/>
      <c r="N129" s="11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4" t="str">
        <f t="shared" si="4"/>
        <v/>
      </c>
      <c r="J130" s="14" t="str">
        <f t="shared" si="5"/>
        <v/>
      </c>
      <c r="K130" s="10"/>
      <c r="L130" s="10"/>
      <c r="M130" s="10"/>
      <c r="N130" s="11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4" t="str">
        <f t="shared" si="4"/>
        <v/>
      </c>
      <c r="J131" s="14" t="str">
        <f t="shared" si="5"/>
        <v/>
      </c>
      <c r="K131" s="10"/>
      <c r="L131" s="10"/>
      <c r="M131" s="10"/>
      <c r="N131" s="11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4" t="str">
        <f t="shared" si="4"/>
        <v/>
      </c>
      <c r="J132" s="14" t="str">
        <f t="shared" si="5"/>
        <v/>
      </c>
      <c r="K132" s="10"/>
      <c r="L132" s="10"/>
      <c r="M132" s="10"/>
      <c r="N132" s="11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4" t="str">
        <f t="shared" si="4"/>
        <v/>
      </c>
      <c r="J133" s="14" t="str">
        <f t="shared" si="5"/>
        <v/>
      </c>
      <c r="K133" s="10"/>
      <c r="L133" s="10"/>
      <c r="M133" s="10"/>
      <c r="N133" s="11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4" t="str">
        <f t="shared" si="4"/>
        <v/>
      </c>
      <c r="J134" s="14" t="str">
        <f t="shared" si="5"/>
        <v/>
      </c>
      <c r="K134" s="10"/>
      <c r="L134" s="10"/>
      <c r="M134" s="10"/>
      <c r="N134" s="11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4" t="str">
        <f t="shared" si="4"/>
        <v/>
      </c>
      <c r="J135" s="14" t="str">
        <f t="shared" si="5"/>
        <v/>
      </c>
      <c r="K135" s="10"/>
      <c r="L135" s="10"/>
      <c r="M135" s="10"/>
      <c r="N135" s="11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4" t="str">
        <f t="shared" si="4"/>
        <v/>
      </c>
      <c r="J136" s="14" t="str">
        <f t="shared" si="5"/>
        <v/>
      </c>
      <c r="K136" s="10"/>
      <c r="L136" s="10"/>
      <c r="M136" s="10"/>
      <c r="N136" s="11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4" t="str">
        <f t="shared" si="4"/>
        <v/>
      </c>
      <c r="J137" s="14" t="str">
        <f t="shared" si="5"/>
        <v/>
      </c>
      <c r="K137" s="10"/>
      <c r="L137" s="10"/>
      <c r="M137" s="10"/>
      <c r="N137" s="11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4" t="str">
        <f t="shared" si="4"/>
        <v/>
      </c>
      <c r="J138" s="14" t="str">
        <f t="shared" si="5"/>
        <v/>
      </c>
      <c r="K138" s="10"/>
      <c r="L138" s="10"/>
      <c r="M138" s="10"/>
      <c r="N138" s="11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4" t="str">
        <f t="shared" si="4"/>
        <v/>
      </c>
      <c r="J139" s="14" t="str">
        <f t="shared" si="5"/>
        <v/>
      </c>
      <c r="K139" s="10"/>
      <c r="L139" s="10"/>
      <c r="M139" s="10"/>
      <c r="N139" s="11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4" t="str">
        <f t="shared" si="4"/>
        <v/>
      </c>
      <c r="J140" s="14" t="str">
        <f t="shared" si="5"/>
        <v/>
      </c>
      <c r="K140" s="10"/>
      <c r="L140" s="10"/>
      <c r="M140" s="10"/>
      <c r="N140" s="11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4" t="str">
        <f t="shared" ref="I141:I204" si="6">IF(SUM(B141:F141,H141)=0,"",SUM(B141:F141,H141))</f>
        <v/>
      </c>
      <c r="J141" s="14" t="str">
        <f t="shared" ref="J141:J204" si="7">IF(I141="","",1440-I141)</f>
        <v/>
      </c>
      <c r="K141" s="10"/>
      <c r="L141" s="10"/>
      <c r="M141" s="10"/>
      <c r="N141" s="11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4" t="str">
        <f t="shared" si="6"/>
        <v/>
      </c>
      <c r="J142" s="14" t="str">
        <f t="shared" si="7"/>
        <v/>
      </c>
      <c r="K142" s="10"/>
      <c r="L142" s="10"/>
      <c r="M142" s="10"/>
      <c r="N142" s="11"/>
    </row>
    <row r="143" spans="1:14" x14ac:dyDescent="0.3">
      <c r="A143" s="8"/>
      <c r="B143" s="13"/>
      <c r="C143" s="13"/>
      <c r="D143" s="13"/>
      <c r="E143" s="13"/>
      <c r="F143" s="13"/>
      <c r="G143" s="13"/>
      <c r="H143" s="9"/>
      <c r="I143" s="14" t="str">
        <f t="shared" si="6"/>
        <v/>
      </c>
      <c r="J143" s="14" t="str">
        <f t="shared" si="7"/>
        <v/>
      </c>
      <c r="K143" s="10"/>
      <c r="L143" s="10"/>
      <c r="M143" s="10"/>
      <c r="N143" s="11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6"/>
        <v/>
      </c>
      <c r="J144" s="14" t="str">
        <f t="shared" si="7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6"/>
        <v/>
      </c>
      <c r="J145" s="14" t="str">
        <f t="shared" si="7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6"/>
        <v/>
      </c>
      <c r="J146" s="14" t="str">
        <f t="shared" si="7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6"/>
        <v/>
      </c>
      <c r="J147" s="14" t="str">
        <f t="shared" si="7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6"/>
        <v/>
      </c>
      <c r="J148" s="14" t="str">
        <f t="shared" si="7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6"/>
        <v/>
      </c>
      <c r="J149" s="14" t="str">
        <f t="shared" si="7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6"/>
        <v/>
      </c>
      <c r="J150" s="14" t="str">
        <f t="shared" si="7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6"/>
        <v/>
      </c>
      <c r="J151" s="14" t="str">
        <f t="shared" si="7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6"/>
        <v/>
      </c>
      <c r="J152" s="14" t="str">
        <f t="shared" si="7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6"/>
        <v/>
      </c>
      <c r="J153" s="14" t="str">
        <f t="shared" si="7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6"/>
        <v/>
      </c>
      <c r="J154" s="14" t="str">
        <f t="shared" si="7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6"/>
        <v/>
      </c>
      <c r="J155" s="14" t="str">
        <f t="shared" si="7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6"/>
        <v/>
      </c>
      <c r="J156" s="14" t="str">
        <f t="shared" si="7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6"/>
        <v/>
      </c>
      <c r="J157" s="14" t="str">
        <f t="shared" si="7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6"/>
        <v/>
      </c>
      <c r="J158" s="14" t="str">
        <f t="shared" si="7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6"/>
        <v/>
      </c>
      <c r="J159" s="14" t="str">
        <f t="shared" si="7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6"/>
        <v/>
      </c>
      <c r="J160" s="14" t="str">
        <f t="shared" si="7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6"/>
        <v/>
      </c>
      <c r="J161" s="14" t="str">
        <f t="shared" si="7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6"/>
        <v/>
      </c>
      <c r="J162" s="14" t="str">
        <f t="shared" si="7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6"/>
        <v/>
      </c>
      <c r="J163" s="14" t="str">
        <f t="shared" si="7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6"/>
        <v/>
      </c>
      <c r="J164" s="14" t="str">
        <f t="shared" si="7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6"/>
        <v/>
      </c>
      <c r="J165" s="14" t="str">
        <f t="shared" si="7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6"/>
        <v/>
      </c>
      <c r="J166" s="14" t="str">
        <f t="shared" si="7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6"/>
        <v/>
      </c>
      <c r="J167" s="14" t="str">
        <f t="shared" si="7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6"/>
        <v/>
      </c>
      <c r="J168" s="14" t="str">
        <f t="shared" si="7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6"/>
        <v/>
      </c>
      <c r="J169" s="14" t="str">
        <f t="shared" si="7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6"/>
        <v/>
      </c>
      <c r="J170" s="14" t="str">
        <f t="shared" si="7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6"/>
        <v/>
      </c>
      <c r="J171" s="14" t="str">
        <f t="shared" si="7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6"/>
        <v/>
      </c>
      <c r="J172" s="14" t="str">
        <f t="shared" si="7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6"/>
        <v/>
      </c>
      <c r="J173" s="14" t="str">
        <f t="shared" si="7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6"/>
        <v/>
      </c>
      <c r="J174" s="14" t="str">
        <f t="shared" si="7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6"/>
        <v/>
      </c>
      <c r="J175" s="14" t="str">
        <f t="shared" si="7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6"/>
        <v/>
      </c>
      <c r="J176" s="14" t="str">
        <f t="shared" si="7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6"/>
        <v/>
      </c>
      <c r="J177" s="14" t="str">
        <f t="shared" si="7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6"/>
        <v/>
      </c>
      <c r="J178" s="14" t="str">
        <f t="shared" si="7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6"/>
        <v/>
      </c>
      <c r="J179" s="14" t="str">
        <f t="shared" si="7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6"/>
        <v/>
      </c>
      <c r="J180" s="14" t="str">
        <f t="shared" si="7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6"/>
        <v/>
      </c>
      <c r="J181" s="14" t="str">
        <f t="shared" si="7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6"/>
        <v/>
      </c>
      <c r="J182" s="14" t="str">
        <f t="shared" si="7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6"/>
        <v/>
      </c>
      <c r="J183" s="14" t="str">
        <f t="shared" si="7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6"/>
        <v/>
      </c>
      <c r="J184" s="14" t="str">
        <f t="shared" si="7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6"/>
        <v/>
      </c>
      <c r="J185" s="14" t="str">
        <f t="shared" si="7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6"/>
        <v/>
      </c>
      <c r="J186" s="14" t="str">
        <f t="shared" si="7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6"/>
        <v/>
      </c>
      <c r="J187" s="14" t="str">
        <f t="shared" si="7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6"/>
        <v/>
      </c>
      <c r="J188" s="14" t="str">
        <f t="shared" si="7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6"/>
        <v/>
      </c>
      <c r="J189" s="14" t="str">
        <f t="shared" si="7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6"/>
        <v/>
      </c>
      <c r="J190" s="14" t="str">
        <f t="shared" si="7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6"/>
        <v/>
      </c>
      <c r="J191" s="14" t="str">
        <f t="shared" si="7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6"/>
        <v/>
      </c>
      <c r="J192" s="14" t="str">
        <f t="shared" si="7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6"/>
        <v/>
      </c>
      <c r="J193" s="14" t="str">
        <f t="shared" si="7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6"/>
        <v/>
      </c>
      <c r="J194" s="14" t="str">
        <f t="shared" si="7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6"/>
        <v/>
      </c>
      <c r="J195" s="14" t="str">
        <f t="shared" si="7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6"/>
        <v/>
      </c>
      <c r="J196" s="14" t="str">
        <f t="shared" si="7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6"/>
        <v/>
      </c>
      <c r="J197" s="14" t="str">
        <f t="shared" si="7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si="6"/>
        <v/>
      </c>
      <c r="J198" s="14" t="str">
        <f t="shared" si="7"/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ref="I205:I268" si="8">IF(SUM(B205:F205,H205)=0,"",SUM(B205:F205,H205))</f>
        <v/>
      </c>
      <c r="J205" s="14" t="str">
        <f t="shared" ref="J205:J268" si="9">IF(I205="","",1440-I205)</f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8"/>
        <v/>
      </c>
      <c r="J206" s="14" t="str">
        <f t="shared" si="9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8"/>
        <v/>
      </c>
      <c r="J207" s="14" t="str">
        <f t="shared" si="9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8"/>
        <v/>
      </c>
      <c r="J208" s="14" t="str">
        <f t="shared" si="9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8"/>
        <v/>
      </c>
      <c r="J209" s="14" t="str">
        <f t="shared" si="9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8"/>
        <v/>
      </c>
      <c r="J210" s="14" t="str">
        <f t="shared" si="9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8"/>
        <v/>
      </c>
      <c r="J211" s="14" t="str">
        <f t="shared" si="9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8"/>
        <v/>
      </c>
      <c r="J212" s="14" t="str">
        <f t="shared" si="9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8"/>
        <v/>
      </c>
      <c r="J213" s="14" t="str">
        <f t="shared" si="9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8"/>
        <v/>
      </c>
      <c r="J214" s="14" t="str">
        <f t="shared" si="9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8"/>
        <v/>
      </c>
      <c r="J215" s="14" t="str">
        <f t="shared" si="9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8"/>
        <v/>
      </c>
      <c r="J216" s="14" t="str">
        <f t="shared" si="9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8"/>
        <v/>
      </c>
      <c r="J217" s="14" t="str">
        <f t="shared" si="9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8"/>
        <v/>
      </c>
      <c r="J218" s="14" t="str">
        <f t="shared" si="9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8"/>
        <v/>
      </c>
      <c r="J219" s="14" t="str">
        <f t="shared" si="9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8"/>
        <v/>
      </c>
      <c r="J220" s="14" t="str">
        <f t="shared" si="9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8"/>
        <v/>
      </c>
      <c r="J221" s="14" t="str">
        <f t="shared" si="9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8"/>
        <v/>
      </c>
      <c r="J222" s="14" t="str">
        <f t="shared" si="9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8"/>
        <v/>
      </c>
      <c r="J223" s="14" t="str">
        <f t="shared" si="9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8"/>
        <v/>
      </c>
      <c r="J224" s="14" t="str">
        <f t="shared" si="9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8"/>
        <v/>
      </c>
      <c r="J225" s="14" t="str">
        <f t="shared" si="9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8"/>
        <v/>
      </c>
      <c r="J226" s="14" t="str">
        <f t="shared" si="9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8"/>
        <v/>
      </c>
      <c r="J227" s="14" t="str">
        <f t="shared" si="9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8"/>
        <v/>
      </c>
      <c r="J228" s="14" t="str">
        <f t="shared" si="9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8"/>
        <v/>
      </c>
      <c r="J229" s="14" t="str">
        <f t="shared" si="9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8"/>
        <v/>
      </c>
      <c r="J230" s="14" t="str">
        <f t="shared" si="9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8"/>
        <v/>
      </c>
      <c r="J231" s="14" t="str">
        <f t="shared" si="9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8"/>
        <v/>
      </c>
      <c r="J232" s="14" t="str">
        <f t="shared" si="9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8"/>
        <v/>
      </c>
      <c r="J233" s="14" t="str">
        <f t="shared" si="9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8"/>
        <v/>
      </c>
      <c r="J234" s="14" t="str">
        <f t="shared" si="9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8"/>
        <v/>
      </c>
      <c r="J235" s="14" t="str">
        <f t="shared" si="9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8"/>
        <v/>
      </c>
      <c r="J236" s="14" t="str">
        <f t="shared" si="9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8"/>
        <v/>
      </c>
      <c r="J237" s="14" t="str">
        <f t="shared" si="9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8"/>
        <v/>
      </c>
      <c r="J238" s="14" t="str">
        <f t="shared" si="9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8"/>
        <v/>
      </c>
      <c r="J239" s="14" t="str">
        <f t="shared" si="9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8"/>
        <v/>
      </c>
      <c r="J240" s="14" t="str">
        <f t="shared" si="9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8"/>
        <v/>
      </c>
      <c r="J241" s="14" t="str">
        <f t="shared" si="9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8"/>
        <v/>
      </c>
      <c r="J242" s="14" t="str">
        <f t="shared" si="9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8"/>
        <v/>
      </c>
      <c r="J243" s="14" t="str">
        <f t="shared" si="9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8"/>
        <v/>
      </c>
      <c r="J244" s="14" t="str">
        <f t="shared" si="9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8"/>
        <v/>
      </c>
      <c r="J245" s="14" t="str">
        <f t="shared" si="9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8"/>
        <v/>
      </c>
      <c r="J246" s="14" t="str">
        <f t="shared" si="9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8"/>
        <v/>
      </c>
      <c r="J247" s="14" t="str">
        <f t="shared" si="9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8"/>
        <v/>
      </c>
      <c r="J248" s="14" t="str">
        <f t="shared" si="9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8"/>
        <v/>
      </c>
      <c r="J249" s="14" t="str">
        <f t="shared" si="9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8"/>
        <v/>
      </c>
      <c r="J250" s="14" t="str">
        <f t="shared" si="9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8"/>
        <v/>
      </c>
      <c r="J251" s="14" t="str">
        <f t="shared" si="9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8"/>
        <v/>
      </c>
      <c r="J252" s="14" t="str">
        <f t="shared" si="9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8"/>
        <v/>
      </c>
      <c r="J253" s="14" t="str">
        <f t="shared" si="9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8"/>
        <v/>
      </c>
      <c r="J254" s="14" t="str">
        <f t="shared" si="9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8"/>
        <v/>
      </c>
      <c r="J255" s="14" t="str">
        <f t="shared" si="9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8"/>
        <v/>
      </c>
      <c r="J256" s="14" t="str">
        <f t="shared" si="9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8"/>
        <v/>
      </c>
      <c r="J257" s="14" t="str">
        <f t="shared" si="9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8"/>
        <v/>
      </c>
      <c r="J258" s="14" t="str">
        <f t="shared" si="9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8"/>
        <v/>
      </c>
      <c r="J259" s="14" t="str">
        <f t="shared" si="9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8"/>
        <v/>
      </c>
      <c r="J260" s="14" t="str">
        <f t="shared" si="9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8"/>
        <v/>
      </c>
      <c r="J261" s="14" t="str">
        <f t="shared" si="9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8"/>
        <v/>
      </c>
      <c r="J262" s="14" t="str">
        <f t="shared" si="9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ref="I269:I332" si="10">IF(SUM(B269:F269,H269)=0,"",SUM(B269:F269,H269))</f>
        <v/>
      </c>
      <c r="J269" s="14" t="str">
        <f t="shared" ref="J269:J332" si="11">IF(I269="","",1440-I269)</f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0"/>
        <v/>
      </c>
      <c r="J270" s="14" t="str">
        <f t="shared" si="11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0"/>
        <v/>
      </c>
      <c r="J271" s="14" t="str">
        <f t="shared" si="11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0"/>
        <v/>
      </c>
      <c r="J272" s="14" t="str">
        <f t="shared" si="11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0"/>
        <v/>
      </c>
      <c r="J273" s="14" t="str">
        <f t="shared" si="11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0"/>
        <v/>
      </c>
      <c r="J274" s="14" t="str">
        <f t="shared" si="11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0"/>
        <v/>
      </c>
      <c r="J275" s="14" t="str">
        <f t="shared" si="11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0"/>
        <v/>
      </c>
      <c r="J276" s="14" t="str">
        <f t="shared" si="11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0"/>
        <v/>
      </c>
      <c r="J277" s="14" t="str">
        <f t="shared" si="11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0"/>
        <v/>
      </c>
      <c r="J278" s="14" t="str">
        <f t="shared" si="11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0"/>
        <v/>
      </c>
      <c r="J279" s="14" t="str">
        <f t="shared" si="11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0"/>
        <v/>
      </c>
      <c r="J280" s="14" t="str">
        <f t="shared" si="11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0"/>
        <v/>
      </c>
      <c r="J281" s="14" t="str">
        <f t="shared" si="11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0"/>
        <v/>
      </c>
      <c r="J282" s="14" t="str">
        <f t="shared" si="11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0"/>
        <v/>
      </c>
      <c r="J283" s="14" t="str">
        <f t="shared" si="11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0"/>
        <v/>
      </c>
      <c r="J284" s="14" t="str">
        <f t="shared" si="11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0"/>
        <v/>
      </c>
      <c r="J285" s="14" t="str">
        <f t="shared" si="11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0"/>
        <v/>
      </c>
      <c r="J286" s="14" t="str">
        <f t="shared" si="11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0"/>
        <v/>
      </c>
      <c r="J287" s="14" t="str">
        <f t="shared" si="11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0"/>
        <v/>
      </c>
      <c r="J288" s="14" t="str">
        <f t="shared" si="11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0"/>
        <v/>
      </c>
      <c r="J289" s="14" t="str">
        <f t="shared" si="11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0"/>
        <v/>
      </c>
      <c r="J290" s="14" t="str">
        <f t="shared" si="11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0"/>
        <v/>
      </c>
      <c r="J291" s="14" t="str">
        <f t="shared" si="11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0"/>
        <v/>
      </c>
      <c r="J292" s="14" t="str">
        <f t="shared" si="11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0"/>
        <v/>
      </c>
      <c r="J293" s="14" t="str">
        <f t="shared" si="11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0"/>
        <v/>
      </c>
      <c r="J294" s="14" t="str">
        <f t="shared" si="11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0"/>
        <v/>
      </c>
      <c r="J295" s="14" t="str">
        <f t="shared" si="11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0"/>
        <v/>
      </c>
      <c r="J296" s="14" t="str">
        <f t="shared" si="11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0"/>
        <v/>
      </c>
      <c r="J297" s="14" t="str">
        <f t="shared" si="11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0"/>
        <v/>
      </c>
      <c r="J298" s="14" t="str">
        <f t="shared" si="11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0"/>
        <v/>
      </c>
      <c r="J299" s="14" t="str">
        <f t="shared" si="11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0"/>
        <v/>
      </c>
      <c r="J300" s="14" t="str">
        <f t="shared" si="11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0"/>
        <v/>
      </c>
      <c r="J301" s="14" t="str">
        <f t="shared" si="11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0"/>
        <v/>
      </c>
      <c r="J302" s="14" t="str">
        <f t="shared" si="11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0"/>
        <v/>
      </c>
      <c r="J303" s="14" t="str">
        <f t="shared" si="11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0"/>
        <v/>
      </c>
      <c r="J304" s="14" t="str">
        <f t="shared" si="11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0"/>
        <v/>
      </c>
      <c r="J305" s="14" t="str">
        <f t="shared" si="11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0"/>
        <v/>
      </c>
      <c r="J306" s="14" t="str">
        <f t="shared" si="11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0"/>
        <v/>
      </c>
      <c r="J307" s="14" t="str">
        <f t="shared" si="11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0"/>
        <v/>
      </c>
      <c r="J308" s="14" t="str">
        <f t="shared" si="11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0"/>
        <v/>
      </c>
      <c r="J309" s="14" t="str">
        <f t="shared" si="11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0"/>
        <v/>
      </c>
      <c r="J310" s="14" t="str">
        <f t="shared" si="11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0"/>
        <v/>
      </c>
      <c r="J311" s="14" t="str">
        <f t="shared" si="11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0"/>
        <v/>
      </c>
      <c r="J312" s="14" t="str">
        <f t="shared" si="11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0"/>
        <v/>
      </c>
      <c r="J313" s="14" t="str">
        <f t="shared" si="11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0"/>
        <v/>
      </c>
      <c r="J314" s="14" t="str">
        <f t="shared" si="11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0"/>
        <v/>
      </c>
      <c r="J315" s="14" t="str">
        <f t="shared" si="11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0"/>
        <v/>
      </c>
      <c r="J316" s="14" t="str">
        <f t="shared" si="11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0"/>
        <v/>
      </c>
      <c r="J317" s="14" t="str">
        <f t="shared" si="11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0"/>
        <v/>
      </c>
      <c r="J318" s="14" t="str">
        <f t="shared" si="11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0"/>
        <v/>
      </c>
      <c r="J319" s="14" t="str">
        <f t="shared" si="11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0"/>
        <v/>
      </c>
      <c r="J320" s="14" t="str">
        <f t="shared" si="11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0"/>
        <v/>
      </c>
      <c r="J321" s="14" t="str">
        <f t="shared" si="11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0"/>
        <v/>
      </c>
      <c r="J322" s="14" t="str">
        <f t="shared" si="11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0"/>
        <v/>
      </c>
      <c r="J323" s="14" t="str">
        <f t="shared" si="11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0"/>
        <v/>
      </c>
      <c r="J324" s="14" t="str">
        <f t="shared" si="11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0"/>
        <v/>
      </c>
      <c r="J325" s="14" t="str">
        <f t="shared" si="11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10"/>
        <v/>
      </c>
      <c r="J326" s="14" t="str">
        <f t="shared" si="11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ref="I333:I396" si="12">IF(SUM(B333:F333,H333)=0,"",SUM(B333:F333,H333))</f>
        <v/>
      </c>
      <c r="J333" s="14" t="str">
        <f t="shared" ref="J333:J396" si="13">IF(I333="","",1440-I333)</f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2"/>
        <v/>
      </c>
      <c r="J334" s="14" t="str">
        <f t="shared" si="13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2"/>
        <v/>
      </c>
      <c r="J335" s="14" t="str">
        <f t="shared" si="13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2"/>
        <v/>
      </c>
      <c r="J336" s="14" t="str">
        <f t="shared" si="13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2"/>
        <v/>
      </c>
      <c r="J337" s="14" t="str">
        <f t="shared" si="13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2"/>
        <v/>
      </c>
      <c r="J338" s="14" t="str">
        <f t="shared" si="13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2"/>
        <v/>
      </c>
      <c r="J339" s="14" t="str">
        <f t="shared" si="13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2"/>
        <v/>
      </c>
      <c r="J340" s="14" t="str">
        <f t="shared" si="13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2"/>
        <v/>
      </c>
      <c r="J341" s="14" t="str">
        <f t="shared" si="13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2"/>
        <v/>
      </c>
      <c r="J342" s="14" t="str">
        <f t="shared" si="13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2"/>
        <v/>
      </c>
      <c r="J343" s="14" t="str">
        <f t="shared" si="13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2"/>
        <v/>
      </c>
      <c r="J344" s="14" t="str">
        <f t="shared" si="13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2"/>
        <v/>
      </c>
      <c r="J345" s="14" t="str">
        <f t="shared" si="13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2"/>
        <v/>
      </c>
      <c r="J346" s="14" t="str">
        <f t="shared" si="13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2"/>
        <v/>
      </c>
      <c r="J347" s="14" t="str">
        <f t="shared" si="13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2"/>
        <v/>
      </c>
      <c r="J348" s="14" t="str">
        <f t="shared" si="13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2"/>
        <v/>
      </c>
      <c r="J349" s="14" t="str">
        <f t="shared" si="13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2"/>
        <v/>
      </c>
      <c r="J350" s="14" t="str">
        <f t="shared" si="13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2"/>
        <v/>
      </c>
      <c r="J351" s="14" t="str">
        <f t="shared" si="13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2"/>
        <v/>
      </c>
      <c r="J352" s="14" t="str">
        <f t="shared" si="13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2"/>
        <v/>
      </c>
      <c r="J353" s="14" t="str">
        <f t="shared" si="13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2"/>
        <v/>
      </c>
      <c r="J354" s="14" t="str">
        <f t="shared" si="13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2"/>
        <v/>
      </c>
      <c r="J355" s="14" t="str">
        <f t="shared" si="13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2"/>
        <v/>
      </c>
      <c r="J356" s="14" t="str">
        <f t="shared" si="13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2"/>
        <v/>
      </c>
      <c r="J357" s="14" t="str">
        <f t="shared" si="13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2"/>
        <v/>
      </c>
      <c r="J358" s="14" t="str">
        <f t="shared" si="13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2"/>
        <v/>
      </c>
      <c r="J359" s="14" t="str">
        <f t="shared" si="13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2"/>
        <v/>
      </c>
      <c r="J360" s="14" t="str">
        <f t="shared" si="13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2"/>
        <v/>
      </c>
      <c r="J361" s="14" t="str">
        <f t="shared" si="13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2"/>
        <v/>
      </c>
      <c r="J362" s="14" t="str">
        <f t="shared" si="13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2"/>
        <v/>
      </c>
      <c r="J363" s="14" t="str">
        <f t="shared" si="13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2"/>
        <v/>
      </c>
      <c r="J364" s="14" t="str">
        <f t="shared" si="13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2"/>
        <v/>
      </c>
      <c r="J365" s="14" t="str">
        <f t="shared" si="13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2"/>
        <v/>
      </c>
      <c r="J366" s="14" t="str">
        <f t="shared" si="13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2"/>
        <v/>
      </c>
      <c r="J367" s="14" t="str">
        <f t="shared" si="13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2"/>
        <v/>
      </c>
      <c r="J368" s="14" t="str">
        <f t="shared" si="13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2"/>
        <v/>
      </c>
      <c r="J369" s="14" t="str">
        <f t="shared" si="13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2"/>
        <v/>
      </c>
      <c r="J370" s="14" t="str">
        <f t="shared" si="13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2"/>
        <v/>
      </c>
      <c r="J371" s="14" t="str">
        <f t="shared" si="13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2"/>
        <v/>
      </c>
      <c r="J372" s="14" t="str">
        <f t="shared" si="13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2"/>
        <v/>
      </c>
      <c r="J373" s="14" t="str">
        <f t="shared" si="13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2"/>
        <v/>
      </c>
      <c r="J374" s="14" t="str">
        <f t="shared" si="13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2"/>
        <v/>
      </c>
      <c r="J375" s="14" t="str">
        <f t="shared" si="13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2"/>
        <v/>
      </c>
      <c r="J376" s="14" t="str">
        <f t="shared" si="13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2"/>
        <v/>
      </c>
      <c r="J377" s="14" t="str">
        <f t="shared" si="13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2"/>
        <v/>
      </c>
      <c r="J378" s="14" t="str">
        <f t="shared" si="13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2"/>
        <v/>
      </c>
      <c r="J379" s="14" t="str">
        <f t="shared" si="13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2"/>
        <v/>
      </c>
      <c r="J380" s="14" t="str">
        <f t="shared" si="13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2"/>
        <v/>
      </c>
      <c r="J381" s="14" t="str">
        <f t="shared" si="13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2"/>
        <v/>
      </c>
      <c r="J382" s="14" t="str">
        <f t="shared" si="13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2"/>
        <v/>
      </c>
      <c r="J383" s="14" t="str">
        <f t="shared" si="13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2"/>
        <v/>
      </c>
      <c r="J384" s="14" t="str">
        <f t="shared" si="13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2"/>
        <v/>
      </c>
      <c r="J385" s="14" t="str">
        <f t="shared" si="13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2"/>
        <v/>
      </c>
      <c r="J386" s="14" t="str">
        <f t="shared" si="13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2"/>
        <v/>
      </c>
      <c r="J387" s="14" t="str">
        <f t="shared" si="13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2"/>
        <v/>
      </c>
      <c r="J388" s="14" t="str">
        <f t="shared" si="13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2"/>
        <v/>
      </c>
      <c r="J389" s="14" t="str">
        <f t="shared" si="13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2"/>
        <v/>
      </c>
      <c r="J390" s="14" t="str">
        <f t="shared" si="13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ref="I397:I408" si="14">IF(SUM(B397:F397,H397)=0,"",SUM(B397:F397,H397))</f>
        <v/>
      </c>
      <c r="J397" s="14" t="str">
        <f t="shared" ref="J397:J408" si="15">IF(I397="","",1440-I397)</f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4"/>
        <v/>
      </c>
      <c r="J398" s="14" t="str">
        <f t="shared" si="15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4"/>
        <v/>
      </c>
      <c r="J399" s="14" t="str">
        <f t="shared" si="15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4"/>
        <v/>
      </c>
      <c r="J400" s="14" t="str">
        <f t="shared" si="15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4"/>
        <v/>
      </c>
      <c r="J401" s="14" t="str">
        <f t="shared" si="15"/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4"/>
        <v/>
      </c>
      <c r="J402" s="14" t="str">
        <f t="shared" si="15"/>
        <v/>
      </c>
      <c r="K402" s="15"/>
      <c r="L402" s="15"/>
      <c r="M402" s="15"/>
      <c r="N402" s="16"/>
    </row>
    <row r="403" spans="1:14" x14ac:dyDescent="0.3">
      <c r="A403" s="12"/>
      <c r="B403" s="13"/>
      <c r="C403" s="13"/>
      <c r="D403" s="13"/>
      <c r="E403" s="13"/>
      <c r="F403" s="13"/>
      <c r="G403" s="13"/>
      <c r="H403" s="13"/>
      <c r="I403" s="14" t="str">
        <f t="shared" si="14"/>
        <v/>
      </c>
      <c r="J403" s="14" t="str">
        <f t="shared" si="15"/>
        <v/>
      </c>
      <c r="K403" s="15"/>
      <c r="L403" s="15"/>
      <c r="M403" s="15"/>
      <c r="N403" s="16"/>
    </row>
    <row r="404" spans="1:14" x14ac:dyDescent="0.3">
      <c r="A404" s="12"/>
      <c r="B404" s="13"/>
      <c r="C404" s="13"/>
      <c r="D404" s="13"/>
      <c r="E404" s="13"/>
      <c r="F404" s="13"/>
      <c r="G404" s="13"/>
      <c r="H404" s="13"/>
      <c r="I404" s="14" t="str">
        <f t="shared" si="14"/>
        <v/>
      </c>
      <c r="J404" s="14" t="str">
        <f t="shared" si="15"/>
        <v/>
      </c>
      <c r="K404" s="15"/>
      <c r="L404" s="15"/>
      <c r="M404" s="15"/>
      <c r="N404" s="16"/>
    </row>
    <row r="405" spans="1:14" x14ac:dyDescent="0.3">
      <c r="A405" s="12"/>
      <c r="B405" s="13"/>
      <c r="C405" s="13"/>
      <c r="D405" s="13"/>
      <c r="E405" s="13"/>
      <c r="F405" s="13"/>
      <c r="G405" s="13"/>
      <c r="H405" s="13"/>
      <c r="I405" s="14" t="str">
        <f t="shared" si="14"/>
        <v/>
      </c>
      <c r="J405" s="14" t="str">
        <f t="shared" si="15"/>
        <v/>
      </c>
      <c r="K405" s="15"/>
      <c r="L405" s="15"/>
      <c r="M405" s="15"/>
      <c r="N405" s="16"/>
    </row>
    <row r="406" spans="1:14" x14ac:dyDescent="0.3">
      <c r="A406" s="12"/>
      <c r="B406" s="13"/>
      <c r="C406" s="13"/>
      <c r="D406" s="13"/>
      <c r="E406" s="13"/>
      <c r="F406" s="13"/>
      <c r="G406" s="13"/>
      <c r="H406" s="13"/>
      <c r="I406" s="14" t="str">
        <f t="shared" si="14"/>
        <v/>
      </c>
      <c r="J406" s="14" t="str">
        <f t="shared" si="15"/>
        <v/>
      </c>
      <c r="K406" s="15"/>
      <c r="L406" s="15"/>
      <c r="M406" s="15"/>
      <c r="N406" s="16"/>
    </row>
    <row r="407" spans="1:14" x14ac:dyDescent="0.3">
      <c r="A407" s="12"/>
      <c r="B407" s="13"/>
      <c r="C407" s="13"/>
      <c r="D407" s="13"/>
      <c r="E407" s="13"/>
      <c r="F407" s="13"/>
      <c r="G407" s="13"/>
      <c r="H407" s="13"/>
      <c r="I407" s="14" t="str">
        <f t="shared" si="14"/>
        <v/>
      </c>
      <c r="J407" s="14" t="str">
        <f t="shared" si="15"/>
        <v/>
      </c>
      <c r="K407" s="15"/>
      <c r="L407" s="15"/>
      <c r="M407" s="15"/>
      <c r="N407" s="16"/>
    </row>
    <row r="408" spans="1:14" x14ac:dyDescent="0.3">
      <c r="A408" s="12"/>
      <c r="B408" s="13"/>
      <c r="C408" s="13"/>
      <c r="D408" s="13"/>
      <c r="E408" s="13"/>
      <c r="F408" s="13"/>
      <c r="G408" s="13"/>
      <c r="H408" s="13"/>
      <c r="I408" s="14" t="str">
        <f t="shared" si="14"/>
        <v/>
      </c>
      <c r="J408" s="14" t="str">
        <f t="shared" si="15"/>
        <v/>
      </c>
      <c r="K408" s="15"/>
      <c r="L408" s="15"/>
      <c r="M408" s="15"/>
      <c r="N408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8" xr:uid="{00000000-0002-0000-0100-000000000000}">
      <formula1>"Excellent,Good,Neutral,Low,Stressed"</formula1>
      <formula2>0</formula2>
    </dataValidation>
    <dataValidation type="list" allowBlank="1" prompt="Select today's satisfaction level" sqref="L6:L40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hello ji</cp:lastModifiedBy>
  <cp:revision>0</cp:revision>
  <dcterms:created xsi:type="dcterms:W3CDTF">2026-07-24T11:49:30Z</dcterms:created>
  <dcterms:modified xsi:type="dcterms:W3CDTF">2026-10-04T16:32:25Z</dcterms:modified>
  <dc:language>en-US</dc:language>
</cp:coreProperties>
</file>